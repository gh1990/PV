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fff8ea923c004c11"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cd7c59a7ae09d122/Рабочий стол/DevizLucrare/PV_Model_Nou/"/>
    </mc:Choice>
  </mc:AlternateContent>
  <xr:revisionPtr revIDLastSave="2205" documentId="11_98392ADC3ED9A81BFB6C7665D003812BBC0ACB2E" xr6:coauthVersionLast="47" xr6:coauthVersionMax="47" xr10:uidLastSave="{9E6017E0-B384-472E-A349-8907612A076E}"/>
  <bookViews>
    <workbookView xWindow="-110" yWindow="-110" windowWidth="25820" windowHeight="15500" firstSheet="1" activeTab="1" xr2:uid="{00000000-000D-0000-FFFF-FFFF00000000}"/>
  </bookViews>
  <sheets>
    <sheet name="Obiect" sheetId="2" state="veryHidden" r:id="rId1"/>
    <sheet name="CalculMateriale" sheetId="79" r:id="rId2"/>
    <sheet name="FisaModel" sheetId="20" state="veryHidden" r:id="rId3"/>
    <sheet name="PVModel" sheetId="7" state="veryHidden" r:id="rId4"/>
    <sheet name="Liste" sheetId="1" state="veryHidden" r:id="rId5"/>
    <sheet name="Utilaj" sheetId="92" state="veryHidden" r:id="rId6"/>
    <sheet name="Transport" sheetId="93" state="veryHidden" r:id="rId7"/>
    <sheet name="Materiale" sheetId="91" state="veryHidden" r:id="rId8"/>
    <sheet name="Norma" sheetId="90" state="veryHidden" r:id="rId9"/>
  </sheets>
  <functionGroups builtInGroupCount="19"/>
  <definedNames>
    <definedName name="EchipeList" hidden="1">"SPAS|SSP|SGM|SH"</definedName>
    <definedName name="_xlnm.Print_Area" localSheetId="2">FisaModel!$A$1:$W$31</definedName>
    <definedName name="_xlnm.Print_Area" localSheetId="3">PVModel!$A$1:$G$96</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6" i="90" l="1"/>
  <c r="D45" i="90"/>
  <c r="D42" i="90"/>
  <c r="D41" i="90"/>
  <c r="D40" i="90"/>
  <c r="D39" i="90"/>
  <c r="D38" i="90"/>
  <c r="D37" i="90"/>
  <c r="D18" i="90"/>
  <c r="D17" i="90"/>
  <c r="D11" i="90"/>
  <c r="D10" i="90"/>
  <c r="N19" i="20" l="1"/>
  <c r="O19" i="20" s="1"/>
  <c r="M19" i="20"/>
  <c r="U19" i="20" l="1"/>
  <c r="U20" i="20" s="1"/>
  <c r="Q25" i="20" s="1"/>
  <c r="P19" i="20"/>
  <c r="B17" i="20" l="1"/>
  <c r="R19" i="20" l="1"/>
  <c r="R20" i="20" s="1"/>
  <c r="Q26" i="20" s="1"/>
  <c r="F27" i="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A2DC3D-8BE0-40D3-A8C4-2CDBE872EB85}" keepAlive="1" name="Query - Tabel" description="Connection to the 'Tabel' query in the workbook." type="5" refreshedVersion="0" background="1">
    <dbPr connection="Provider=Microsoft.Mashup.OleDb.1;Data Source=$Workbook$;Location=Tabel;Extended Properties=&quot;&quot;" command="SELECT * FROM [Tabel]"/>
  </connection>
  <connection id="2" xr16:uid="{BCE2483E-91ED-4E80-AC7D-57D67BF01358}" keepAlive="1" name="Query - Tabel1" description="Connection to the 'Tabel1' query in the workbook." type="5" refreshedVersion="0" background="1">
    <dbPr connection="Provider=Microsoft.Mashup.OleDb.1;Data Source=$Workbook$;Location=Tabel1;Extended Properties=&quot;&quot;" command="SELECT * FROM [Tabel1]"/>
  </connection>
  <connection id="3" xr16:uid="{78405D4B-059C-4A5C-A5AB-FD10AC0E964F}" keepAlive="1" name="Query - Tabel3" description="Connection to the 'Tabel3' query in the workbook." type="5" refreshedVersion="0" background="1">
    <dbPr connection="Provider=Microsoft.Mashup.OleDb.1;Data Source=$Workbook$;Location=Tabel3;Extended Properties=&quot;&quot;" command="SELECT * FROM [Tabel3]"/>
  </connection>
  <connection id="4" xr16:uid="{9C93E083-EA40-41CC-80BA-40759A744D97}" keepAlive="1" name="Query - tabel4" description="Connection to the 'tabel4' query in the workbook." type="5" refreshedVersion="0" background="1">
    <dbPr connection="Provider=Microsoft.Mashup.OleDb.1;Data Source=$Workbook$;Location=tabel4;Extended Properties=&quot;&quot;" command="SELECT * FROM [tabel4]"/>
  </connection>
  <connection id="5" xr16:uid="{377301F0-FD69-4E33-A5A5-B5EC1C8F4508}" keepAlive="1" name="Query - Tabel5" description="Connection to the 'Tabel5' query in the workbook." type="5" refreshedVersion="0" background="1">
    <dbPr connection="Provider=Microsoft.Mashup.OleDb.1;Data Source=$Workbook$;Location=Tabel5;Extended Properties=&quot;&quot;" command="SELECT * FROM [Tabel5]"/>
  </connection>
  <connection id="6" xr16:uid="{A5CE98BA-6EF4-44EA-BFBF-E86E7FCD55E2}" keepAlive="1" name="Query - Table001 (Page 1)" description="Connection to the 'Table001 (Page 1)' query in the workbook." type="5" refreshedVersion="0" background="1" saveData="1">
    <dbPr connection="Provider=Microsoft.Mashup.OleDb.1;Data Source=$Workbook$;Location=&quot;Table001 (Page 1)&quot;;Extended Properties=&quot;&quot;" command="SELECT * FROM [Table001 (Page 1)]"/>
  </connection>
  <connection id="7" xr16:uid="{25440750-483F-45D0-8FEF-429F1273F280}" keepAlive="1" name="Query - Table002 (Page 2)" description="Connection to the 'Table002 (Page 2)' query in the workbook." type="5" refreshedVersion="0" background="1">
    <dbPr connection="Provider=Microsoft.Mashup.OleDb.1;Data Source=$Workbook$;Location=&quot;Table002 (Page 2)&quot;;Extended Properties=&quot;&quot;" command="SELECT * FROM [Table002 (Page 2)]"/>
  </connection>
  <connection id="8" xr16:uid="{89AB9F18-C402-4A8A-A3D2-1335D9424265}" keepAlive="1" name="Query - Table003 (Page 3)" description="Connection to the 'Table003 (Page 3)' query in the workbook." type="5" refreshedVersion="0" background="1">
    <dbPr connection="Provider=Microsoft.Mashup.OleDb.1;Data Source=$Workbook$;Location=&quot;Table003 (Page 3)&quot;;Extended Properties=&quot;&quot;" command="SELECT * FROM [Table003 (Page 3)]"/>
  </connection>
  <connection id="9" xr16:uid="{58E2C0A4-87A7-41F4-B988-8A583333E7E1}" keepAlive="1" name="Query - Table004 (Page 4)" description="Connection to the 'Table004 (Page 4)' query in the workbook." type="5" refreshedVersion="0" background="1">
    <dbPr connection="Provider=Microsoft.Mashup.OleDb.1;Data Source=$Workbook$;Location=&quot;Table004 (Page 4)&quot;;Extended Properties=&quot;&quot;" command="SELECT * FROM [Table004 (Page 4)]"/>
  </connection>
  <connection id="10" xr16:uid="{838A916B-982A-4728-9DE4-A87FB27ED62B}" keepAlive="1" name="Query - Table005 (Page 5)" description="Connection to the 'Table005 (Page 5)' query in the workbook." type="5" refreshedVersion="0" background="1">
    <dbPr connection="Provider=Microsoft.Mashup.OleDb.1;Data Source=$Workbook$;Location=&quot;Table005 (Page 5)&quot;;Extended Properties=&quot;&quot;" command="SELECT * FROM [Table005 (Page 5)]"/>
  </connection>
</connections>
</file>

<file path=xl/sharedStrings.xml><?xml version="1.0" encoding="utf-8"?>
<sst xmlns="http://schemas.openxmlformats.org/spreadsheetml/2006/main" count="1436" uniqueCount="854">
  <si>
    <t>TipLucrari</t>
  </si>
  <si>
    <t>Nr</t>
  </si>
  <si>
    <t>Luna</t>
  </si>
  <si>
    <t>Departament</t>
  </si>
  <si>
    <t>CodSector</t>
  </si>
  <si>
    <t>MediaSalariala</t>
  </si>
  <si>
    <t>Brigadir</t>
  </si>
  <si>
    <t>BrigadirScurt</t>
  </si>
  <si>
    <t>NrMatricol</t>
  </si>
  <si>
    <t>SefSector</t>
  </si>
  <si>
    <t>SefDepartament</t>
  </si>
  <si>
    <t>SefSIDTP</t>
  </si>
  <si>
    <t>Normator</t>
  </si>
  <si>
    <t>NumeSector</t>
  </si>
  <si>
    <t>UtilajMasini</t>
  </si>
  <si>
    <t>SPAS</t>
  </si>
  <si>
    <t>Raparație curentă</t>
  </si>
  <si>
    <t>01</t>
  </si>
  <si>
    <t>Ianuarie</t>
  </si>
  <si>
    <t>DSPPAS</t>
  </si>
  <si>
    <t>Graur Ștefan</t>
  </si>
  <si>
    <t>Șt. Graur</t>
  </si>
  <si>
    <t>Gh. Brînza</t>
  </si>
  <si>
    <t>A. Țîbîrnac</t>
  </si>
  <si>
    <t>C. Doneț</t>
  </si>
  <si>
    <t>A. Panteleeva</t>
  </si>
  <si>
    <t>Departamentul stații de pompare și prize de apă subterană, Sectorul prize de apă subterană(53201)</t>
  </si>
  <si>
    <t>Aparat de sudură</t>
  </si>
  <si>
    <t>SSP</t>
  </si>
  <si>
    <t>Deservirea tehnică</t>
  </si>
  <si>
    <t>02</t>
  </si>
  <si>
    <t>Februarie</t>
  </si>
  <si>
    <t>Scurtu Vasile</t>
  </si>
  <si>
    <t>V. Scurtu</t>
  </si>
  <si>
    <t>V. Mocanu</t>
  </si>
  <si>
    <t>Departamentul stații de pompare și prize de apă subterană, Sectorul statii de pompare(53301)</t>
  </si>
  <si>
    <t>Generator electric</t>
  </si>
  <si>
    <t>SGM</t>
  </si>
  <si>
    <t>Întreținere</t>
  </si>
  <si>
    <t>03</t>
  </si>
  <si>
    <t>Martie</t>
  </si>
  <si>
    <t>Cojocari Valentin</t>
  </si>
  <si>
    <t>V. Cojocari</t>
  </si>
  <si>
    <t>V. Gațcan</t>
  </si>
  <si>
    <t>Departamentul stații de pompare și prize de apă subterană, Sectorul gestiune și mentenanță(53304)</t>
  </si>
  <si>
    <t>Motopompa</t>
  </si>
  <si>
    <t>SH</t>
  </si>
  <si>
    <t>Raparație curentă, directe</t>
  </si>
  <si>
    <t>04</t>
  </si>
  <si>
    <t>Aprilie</t>
  </si>
  <si>
    <t>Cernica Iurie</t>
  </si>
  <si>
    <t xml:space="preserve">Iu. Cernica </t>
  </si>
  <si>
    <t>S. Surdu</t>
  </si>
  <si>
    <t>Departamentul stații de pompare și prize de apă subterană, Sectorul hidrofor(53305)</t>
  </si>
  <si>
    <t>Reparație curentă, indirecte</t>
  </si>
  <si>
    <t>05</t>
  </si>
  <si>
    <t>Mai</t>
  </si>
  <si>
    <t>Reparație capitală cu capitalizări, directe</t>
  </si>
  <si>
    <t>06</t>
  </si>
  <si>
    <t>Iunie</t>
  </si>
  <si>
    <t>Reparație capitală cu capitalizări, indirecte</t>
  </si>
  <si>
    <t>07</t>
  </si>
  <si>
    <t>Iulie</t>
  </si>
  <si>
    <t>Întreținere, directe</t>
  </si>
  <si>
    <t>08</t>
  </si>
  <si>
    <t>August</t>
  </si>
  <si>
    <t>Deservirea tehnică, directe</t>
  </si>
  <si>
    <t>09</t>
  </si>
  <si>
    <t>Septembrie</t>
  </si>
  <si>
    <t>10</t>
  </si>
  <si>
    <t>Octombrie</t>
  </si>
  <si>
    <t>11</t>
  </si>
  <si>
    <t>Noiembrie</t>
  </si>
  <si>
    <t>12</t>
  </si>
  <si>
    <t>Decembrie</t>
  </si>
  <si>
    <t>NrInventar</t>
  </si>
  <si>
    <t>NumeObiect</t>
  </si>
  <si>
    <t>CodNorma</t>
  </si>
  <si>
    <t>DescriereNorma</t>
  </si>
  <si>
    <t>UM</t>
  </si>
  <si>
    <t>Norma</t>
  </si>
  <si>
    <t>RpAcB14F</t>
  </si>
  <si>
    <t>Manevrarea (inchiderea si deschiderea) manuala  a vanelor montate in camin , in vederea izolarii diferitelor zone de retea, vanele avind diametrul 50-200 mm</t>
  </si>
  <si>
    <t>buc</t>
  </si>
  <si>
    <t>RpAcB42A</t>
  </si>
  <si>
    <t>Demontarea armaturilor cu actionare manuala sau mecanica, la conductele de alimentare cu apa, avind diametrul de 50-250 mm</t>
  </si>
  <si>
    <t>RpAcB18A</t>
  </si>
  <si>
    <t>RpAcB14A</t>
  </si>
  <si>
    <t xml:space="preserve">Manevrarea (inchiderea si deschiderea) manuala  a vanelor montate in pamint , in vederea izolarii diferitelor zone de retea, vanele avind diametrul 50-200 mm </t>
  </si>
  <si>
    <t>CodMaterial</t>
  </si>
  <si>
    <t>NumeMaterial</t>
  </si>
  <si>
    <t>Cantitate</t>
  </si>
  <si>
    <t>Pret</t>
  </si>
  <si>
    <t>Cauciuc tehnic 4mm</t>
  </si>
  <si>
    <t>Funie capron</t>
  </si>
  <si>
    <t>Funie cinepa d-16mm</t>
  </si>
  <si>
    <t>Oxigen gaz tehnic</t>
  </si>
  <si>
    <t>Vopsea email palitra galben</t>
  </si>
  <si>
    <t>M-ht</t>
  </si>
  <si>
    <t>km</t>
  </si>
  <si>
    <r>
      <rPr>
        <sz val="10"/>
        <color theme="1"/>
        <rFont val="Calibri"/>
        <family val="2"/>
        <charset val="204"/>
        <scheme val="minor"/>
      </rPr>
      <t>Executor:</t>
    </r>
    <r>
      <rPr>
        <b/>
        <sz val="10"/>
        <color theme="1"/>
        <rFont val="Calibri"/>
        <family val="2"/>
        <charset val="204"/>
        <scheme val="minor"/>
      </rPr>
      <t xml:space="preserve"> </t>
    </r>
  </si>
  <si>
    <t>(cod și denumire subdiviziune)</t>
  </si>
  <si>
    <t>Beneficiar:</t>
  </si>
  <si>
    <t>(Denumire companie beneficiară/ prenume și nume beneficiar persoană fizică)</t>
  </si>
  <si>
    <t>Obiect:</t>
  </si>
  <si>
    <t>Număr(ere) de inventar</t>
  </si>
  <si>
    <t>(se completează după caz, dacă la același obiect lucrările sunt divizate pe componente)</t>
  </si>
  <si>
    <t>Proces-verbal</t>
  </si>
  <si>
    <t>de recepție a lucrărilor executate</t>
  </si>
  <si>
    <r>
      <t>nr.</t>
    </r>
    <r>
      <rPr>
        <b/>
        <u/>
        <sz val="10"/>
        <color theme="1"/>
        <rFont val="Calibri"/>
        <family val="2"/>
        <charset val="204"/>
        <scheme val="minor"/>
      </rPr>
      <t xml:space="preserve">                               </t>
    </r>
    <r>
      <rPr>
        <b/>
        <sz val="10"/>
        <color theme="1"/>
        <rFont val="Calibri"/>
        <family val="2"/>
        <charset val="204"/>
        <scheme val="minor"/>
      </rPr>
      <t>din luna L /              / 2025</t>
    </r>
  </si>
  <si>
    <t>Denumire lucrare</t>
  </si>
  <si>
    <t xml:space="preserve">Valoarea totală a lucrărilor executate: </t>
  </si>
  <si>
    <t>Nr. 
crt.</t>
  </si>
  <si>
    <t>Simbol norme și cod resurse 
(nr. nomenclator)</t>
  </si>
  <si>
    <t>Denumire</t>
  </si>
  <si>
    <t>Cantitatea</t>
  </si>
  <si>
    <t>Pe unitate  de măsură, lei</t>
  </si>
  <si>
    <t>Total, lei</t>
  </si>
  <si>
    <t>norma</t>
  </si>
  <si>
    <t>Manopera:</t>
  </si>
  <si>
    <t>Total manopera</t>
  </si>
  <si>
    <t>Materiale:</t>
  </si>
  <si>
    <t>Total materiale</t>
  </si>
  <si>
    <t>Mașini și utilaje:</t>
  </si>
  <si>
    <t>TrI22AT04</t>
  </si>
  <si>
    <t>Insotirea transportului de muncitori incarcatori-descarcatori categoria 4, pe drum categoria T, efectuat cu autocamion de 5 t</t>
  </si>
  <si>
    <t>1km</t>
  </si>
  <si>
    <t>Transportare echipei și materialelor</t>
  </si>
  <si>
    <t>TOTAL RESURSE</t>
  </si>
  <si>
    <t>inclusiv manopera</t>
  </si>
  <si>
    <t>Costuri privind asigurări sociale și medicale obligatorii de stat</t>
  </si>
  <si>
    <t>Costuri privind provizion pentru concediale, inclusiv CASM</t>
  </si>
  <si>
    <t xml:space="preserve">TOTAL CHELTUIELI DIRECTE </t>
  </si>
  <si>
    <t>Costuri indirecte de producție (regie)</t>
  </si>
  <si>
    <t xml:space="preserve">TOTAL CHELTUIELI </t>
  </si>
  <si>
    <t>Întocmit:</t>
  </si>
  <si>
    <t>Verificat:</t>
  </si>
  <si>
    <t xml:space="preserve">Inginer normarea muncii, </t>
  </si>
  <si>
    <t>Șef Departament</t>
  </si>
  <si>
    <t xml:space="preserve">Responsabil </t>
  </si>
  <si>
    <t>Șef SIDTP</t>
  </si>
  <si>
    <t>Șef sector</t>
  </si>
  <si>
    <t xml:space="preserve"> </t>
  </si>
  <si>
    <t>Camion cu boxa si cabina simpla GAZ 5327,   CBE 440</t>
  </si>
  <si>
    <t>217,9</t>
  </si>
  <si>
    <t>19,91</t>
  </si>
  <si>
    <t>V. Adam</t>
  </si>
  <si>
    <t xml:space="preserve">Întreprinderea </t>
  </si>
  <si>
    <t>S.A. "Apă-Canal Chişinău"</t>
  </si>
  <si>
    <t>Prin sistemul în acord cu primă</t>
  </si>
  <si>
    <t>se plătește</t>
  </si>
  <si>
    <t>Formular-tip nr. T-41</t>
  </si>
  <si>
    <t>Compartimentul</t>
  </si>
  <si>
    <t>c.f.  1002600015876</t>
  </si>
  <si>
    <t>nu se plătește</t>
  </si>
  <si>
    <r>
      <t>FIŞA</t>
    </r>
    <r>
      <rPr>
        <b/>
        <sz val="12"/>
        <rFont val="Times New Roman"/>
        <family val="1"/>
        <charset val="204"/>
      </rPr>
      <t xml:space="preserve">  </t>
    </r>
    <r>
      <rPr>
        <b/>
        <sz val="14"/>
        <rFont val="Times New Roman"/>
        <family val="1"/>
        <charset val="204"/>
      </rPr>
      <t>DE</t>
    </r>
    <r>
      <rPr>
        <b/>
        <sz val="12"/>
        <rFont val="Times New Roman"/>
        <family val="1"/>
        <charset val="204"/>
      </rPr>
      <t xml:space="preserve">  </t>
    </r>
    <r>
      <rPr>
        <b/>
        <sz val="14"/>
        <rFont val="Times New Roman"/>
        <family val="1"/>
        <charset val="204"/>
      </rPr>
      <t>LUCRU  Nr.</t>
    </r>
  </si>
  <si>
    <t>din</t>
  </si>
  <si>
    <t>a. 2025</t>
  </si>
  <si>
    <t>Termenul executării lucrărilor</t>
  </si>
  <si>
    <t>Denumirea obiectului</t>
  </si>
  <si>
    <t>nr. de inventar</t>
  </si>
  <si>
    <t xml:space="preserve"> Brigada     </t>
  </si>
  <si>
    <t>(profesia)</t>
  </si>
  <si>
    <t>Început</t>
  </si>
  <si>
    <t xml:space="preserve"> Echipa</t>
  </si>
  <si>
    <t>Sfârșit</t>
  </si>
  <si>
    <t>Conducător de brigadă (echipă), lucrător</t>
  </si>
  <si>
    <t>Nr. matricol</t>
  </si>
  <si>
    <t>Paragraful normelor        și tarifelor        unitare             ori nr.        calculațiilor</t>
  </si>
  <si>
    <t xml:space="preserve">media    </t>
  </si>
  <si>
    <t xml:space="preserve"> lei/oră</t>
  </si>
  <si>
    <t>Unitatea de măsură</t>
  </si>
  <si>
    <t>Însărcinare</t>
  </si>
  <si>
    <t>Îndeplinirea</t>
  </si>
  <si>
    <t>Cont              de bilanț</t>
  </si>
  <si>
    <t>Lucrările și condițiile de executare a acestora</t>
  </si>
  <si>
    <t>Volumul lucrărilor</t>
  </si>
  <si>
    <t>normativ de timp la o unitate de măsură</t>
  </si>
  <si>
    <t>normativ de timp la volum</t>
  </si>
  <si>
    <t>tarif</t>
  </si>
  <si>
    <t>suma retribuției tarifare</t>
  </si>
  <si>
    <t>oameni/ore conform normativului pentru volu-mul executat</t>
  </si>
  <si>
    <t>Total</t>
  </si>
  <si>
    <t>Dat însărcinare</t>
  </si>
  <si>
    <t>Executantul lucrărilor</t>
  </si>
  <si>
    <t>Primit Însărcinare</t>
  </si>
  <si>
    <t>Conducătorul de brigadă (echipă)</t>
  </si>
  <si>
    <t>Maistru (șef de echipă)</t>
  </si>
  <si>
    <t>Muncitor</t>
  </si>
  <si>
    <t>Calitatea lucrărilor executate</t>
  </si>
  <si>
    <t>Fișa de lucru în sumă de</t>
  </si>
  <si>
    <t>lei</t>
  </si>
  <si>
    <t>Primit lucrări executate</t>
  </si>
  <si>
    <t>om/oră</t>
  </si>
  <si>
    <t>Aprob: Executantul lucrărilor</t>
  </si>
  <si>
    <t>Predat</t>
  </si>
  <si>
    <t xml:space="preserve">"______"_________________a. 2025.  </t>
  </si>
  <si>
    <t>Șef DSPPAS</t>
  </si>
  <si>
    <t>Trecut în fișa de achitare nr.</t>
  </si>
  <si>
    <r>
      <t>"</t>
    </r>
    <r>
      <rPr>
        <b/>
        <sz val="12"/>
        <rFont val="Times New Roman"/>
        <family val="1"/>
        <charset val="204"/>
      </rPr>
      <t>______</t>
    </r>
    <r>
      <rPr>
        <sz val="12"/>
        <rFont val="Times New Roman"/>
        <family val="1"/>
        <charset val="204"/>
      </rPr>
      <t>"</t>
    </r>
    <r>
      <rPr>
        <b/>
        <sz val="12"/>
        <rFont val="Times New Roman"/>
        <family val="1"/>
        <charset val="204"/>
      </rPr>
      <t>_________________</t>
    </r>
    <r>
      <rPr>
        <sz val="12"/>
        <rFont val="Times New Roman"/>
        <family val="1"/>
        <charset val="204"/>
      </rPr>
      <t>a. 2025</t>
    </r>
  </si>
  <si>
    <t>VERIFICAT: Contabil</t>
  </si>
  <si>
    <t>Șef SI DTP</t>
  </si>
  <si>
    <r>
      <t>"</t>
    </r>
    <r>
      <rPr>
        <b/>
        <sz val="12"/>
        <rFont val="Times New Roman"/>
        <family val="1"/>
        <charset val="204"/>
      </rPr>
      <t>______</t>
    </r>
    <r>
      <rPr>
        <sz val="12"/>
        <rFont val="Times New Roman"/>
        <family val="1"/>
        <charset val="204"/>
      </rPr>
      <t>"</t>
    </r>
    <r>
      <rPr>
        <b/>
        <sz val="12"/>
        <rFont val="Times New Roman"/>
        <family val="1"/>
        <charset val="204"/>
      </rPr>
      <t>_________________</t>
    </r>
    <r>
      <rPr>
        <sz val="12"/>
        <rFont val="Times New Roman"/>
        <family val="1"/>
        <charset val="204"/>
      </rPr>
      <t>a. 2025.</t>
    </r>
  </si>
  <si>
    <t>Nrluna</t>
  </si>
  <si>
    <t>PUT ARTEZIAN NR.2(7) (D=300MM;H=138M- METAL) STR.PETRICANI (CONS.12.2003/DECONS.042022)</t>
  </si>
  <si>
    <t>GARD DIN PLASA METALICA L=1200M.</t>
  </si>
  <si>
    <t>GENERATOR H-10000 10 KVA TA-STR.STUDENTILOR 14A</t>
  </si>
  <si>
    <t>Vana din fonta ductila D- 100  la  F/a nr. 5 (3623) priza de apa "Balisevsc", sec. PAS, DSPPAS</t>
  </si>
  <si>
    <t>Vana din fonta ductila D- 100  la F/a nr.10 (1953) Priza de apa "Petricani", sec. PAS, DSPPAS</t>
  </si>
  <si>
    <t>PUT ARTEZIAN NR.1(D=250MM;H=130M-METAL)CAMIN DE DESERVIRE  D=2M;H=2M-BETON/ STR.FLORILOR 3 TERITORIUL SECT.1 (CONS.01.2015)</t>
  </si>
  <si>
    <t>PUT ARTEZIAN NR.1(219)(D=350MM;H=131M) STR.ALBISOARA 25/1</t>
  </si>
  <si>
    <t>PUT ARTEZIAN NR.1(2509) (D=250MM;H=120M- METAL) PRIZA C.GHIDIGHICI STR.FEROVIARILOR 1/5</t>
  </si>
  <si>
    <t>PUT ARTEZIAN NR.2(2511) (D=250MM;H=140M- METAL) PRIZA S.GHIDIGHICI STR.FEROVIARILOR 1/5</t>
  </si>
  <si>
    <t>PUT ARTEZIAN NR.3(4003) (D=250MM;H=105M- METAL)PRIZA S.GHIDIGHICI STR.FEROVIARILOR 1/5</t>
  </si>
  <si>
    <t>PUT ARTEZIAN NR.4(2497) (D=250MM;H=103M- METAL)PRIZA S.GHIDIGHICI STR.FEROVIARILOR 1/5</t>
  </si>
  <si>
    <t>PUT ARTEZIAN NR.5(2485) (D=250MM;H=106M- METAL)PRIZA S.GHIDIGHICI STR.FEROVIARILOR 1/5</t>
  </si>
  <si>
    <t>PUT ARTEZIAN NR.6(2481) (D=250MM;H=105M- METAL)PRIZA S.GHIDIGHICI STR.FEROVIARILOR 1/5</t>
  </si>
  <si>
    <t>PUT ARTEZIAN NR.7(2482) (D=250MM;H=101M- METAL)PRIZA S.GHIDIGHICI STR.FEROVIARILOR 1/5</t>
  </si>
  <si>
    <t>PUT ARTEZIAN NR.8(2522) (D=300MM;H=135M- METAL) PRIZA S.GHIDIGHICI STR.FEROVIARILOR 1/5</t>
  </si>
  <si>
    <t>PUT ARTEZIAN NR.9(2521) (D=250MM;H=135M- METAL) PRIZA S.GHIDIGHICI STR.FEROVIARILOR 1/5(CONS.02.2005)</t>
  </si>
  <si>
    <t>PUT ARTEZIAN NR.11(2475) (D=300MM;H=135M- METAL)PRIZA S.GHIDIGHICI STR.FEROVIARILOR 1/5</t>
  </si>
  <si>
    <t xml:space="preserve">PUT ARTEZIAN NR.3(2638) (D=200MM;H=180M- METAL) STR.TRANDAFIRILOR 43 </t>
  </si>
  <si>
    <t>PUT ARTEZIAN NR.5(3623) PRIZA'BALISEVSC'( D=250MM;H=120M- METAL) STR.CALEA MOSILOR 7</t>
  </si>
  <si>
    <t>PUT ARTEZIAN NR.6(3624) PRIZA'BALISEVSC'( D=250MM;H=120M- METAL) STR.CALEA MOSILOR 7</t>
  </si>
  <si>
    <t>Vana fonta ductila D-150mm de la f/a N1 (219) Priza de apa Balisevsk</t>
  </si>
  <si>
    <t>Vana fonta ductila D-100mm la f/a N12 (2242) Priza de apa Petricani</t>
  </si>
  <si>
    <t>Pompa WQ 9-222.2 400W</t>
  </si>
  <si>
    <t>Vana D100mm la conducta de alimentare cu apa f/a N13(3952) Priza de apa Petricani</t>
  </si>
  <si>
    <t>POMPA SP46-6 IN COMPLECT CU DULAP DE COMANDA 9.2 KW, CABLU CRPT 3X6+1X4=80ML,CU COMPLECT DE MUFE M2. FANT.ARTEZ.NR6 BALSEVSC</t>
  </si>
  <si>
    <t>POMPA SP46-6 IN COMPLECT CU DULAP DE COMANDA 9.2 KW, CABLU CRPT 3X6+1X4=80ML,CU COMPLECT DE MUFE M2. FANT.ARTEZ.NR7 BALSEVSC</t>
  </si>
  <si>
    <t>POMPA SP60/6 IN COMPLECT CU DULAP DE COMANDA 11KW, CABLU CRPT 3X16+11X10=80ML,CU COMPLECT DE MUFE M2. FANT.ARTEZ.NR8 BALSEVSC</t>
  </si>
  <si>
    <t>POMPA SP-46-6(CU MOTOR)FINTINA ARTEZ.9'BALISEVSC'STR.PUSKIN,62</t>
  </si>
  <si>
    <t xml:space="preserve">POMPA ATV 6-10-185/FINTINA ART.NR.2 SAT.GHIDIGHICI </t>
  </si>
  <si>
    <t xml:space="preserve">POMPA ATV 6-10-140/FINTINA 4403 STR.CANTEMIR 10A </t>
  </si>
  <si>
    <t xml:space="preserve">POMPA ZN 660 07-L6W;Q=60M3;H=100M/INST.LA FINTINA ARTEZIANA  NR.1"BALSEVSC" </t>
  </si>
  <si>
    <t>PANOU DE COMANDA/STATIE DE COMANDA SI PROTECTIE"POTOK 13--2-K2"FINT.ARTEZIANA 2 SECT.GHIDIGHICI</t>
  </si>
  <si>
    <t>PANOU DE COMANDA/STATIE DE COMANDA SI PROTECTIE"POTOC 13-3-K2" /FINT.ARTEZIANA NR.1 S.GHIDIGHICI</t>
  </si>
  <si>
    <t>PANOU DE COMANDA Q3D/110-150 13KW /MONT.LA FINTINA ARTEZIANA NR.3 S.GHIDIGHICI</t>
  </si>
  <si>
    <t xml:space="preserve">PANOU DE COMANDA Q3D/92-110 13KW/INST.LA FINT.ARTEZIANA NR.1"BALSEVSC" </t>
  </si>
  <si>
    <t xml:space="preserve">PUT ARTEZIAN NR.4047(D=200MM;H=160M- METAL;CAMIN  D=2M;H=2M) S.GRATIESTI STR.PRIETENII (CONS.12.2003) </t>
  </si>
  <si>
    <t xml:space="preserve">PUT ARTEZIAN NR.2932(D=250MM;H=135M-METAL S.GRATIESTI STR.COJBUC 10 (DECONS.12.14)  </t>
  </si>
  <si>
    <t>GARD(L=60M;SP=90M2;H=1.5M-PLASA DIN METAL)</t>
  </si>
  <si>
    <t xml:space="preserve">PUT ARTEZIAN NR.2873(D=250MM;H=170M-METAL, CAMIN D=2M;H=2M)/ S.HULBOACA STR.CREANGA (CONS.12.2003) </t>
  </si>
  <si>
    <t>CAMIN DE DESERVIRE LA PUT ARTEZIAN NR.2422( D=2M;H=1.8M- BETON)S.GOIANUL NOU STR.V.ALEXANDRI</t>
  </si>
  <si>
    <t>PUT ARTEZIAN NR.2422(D=150MM;H=210M-METAL, CAMIN  D=2M;H=2M) -S.GOIANUL NOU STR.V.ALEXANDRI</t>
  </si>
  <si>
    <t xml:space="preserve">PANOU DE COMANDA,TIP 40WARA,CU POMPA SUBMERSIBILA/INST.LA FINT.ARTEZ.NR.6(2492)SECT.GHIDIGHICI </t>
  </si>
  <si>
    <t>PANOU DE COMANDA/STATIE DE PROTECTIE SZ/KDM/FINT.ARTEZIANA NR.6 SECT.GHIDIGHICI</t>
  </si>
  <si>
    <t>PANOU DE COMANDA Q 3D/110-150/FINT.ARTEZIANA NR.4 S.GHIDIGHICI</t>
  </si>
  <si>
    <t>PANOU DE PROTECTIE A POMPEI SUBMERSIBILE SUB MONITOR  5860005000/INST.IN FINT.ARTEZIANA NT.2- S.GHIDIGHICI</t>
  </si>
  <si>
    <t>RETELE DE DISTRIBUTIE A APEI LA REZERVUARE/D=110MM,L=140M; VANE D100MM-7BUC;HI D100-1BUC;CAMIN D2M-1BUC; D1.5M-2BUC;D1M-2BUC- S.GOIANUL NOU</t>
  </si>
  <si>
    <t>DULAP DE DIRIJARE A POMPEI LA SONDA,MODULI EX2N-2AD,MODULI EXIN-232-BD/S.GOIANUL NOU,INTOVARESIREA'GALBENA GUTUIE'</t>
  </si>
  <si>
    <t xml:space="preserve">PUT ARTEZIAN NR.7(6)/ D=150MM H=180M / CAMIN  D=2M;H=2M- OR.VATRA STR.TINERETII </t>
  </si>
  <si>
    <t>POMPA ATV 6-10-185;Q=10M3/ORA;H=185M-FINTINA NR.7 OR.VATRA</t>
  </si>
  <si>
    <t>POMPA 6-6VS 14/18 50-6 CU MOTOR GRL-9.3-380/416-50-W-SB LEAD/  INSTAL.LA PUTUL ARTEZIAN NR.7 OR.VATRA</t>
  </si>
  <si>
    <t>PANOU DE PROTECTIE A POMPEI SUBMERSIBILE SUB MONITOR/  INSTAL.LA PUTUL ARTEZIAN NR.7 OR.VATRA</t>
  </si>
  <si>
    <t>PUT ARTEZIAN NR.1(2625)(D=200MM;H=180M- METAL/ CAMIN  D=2M;H=2M-BETON(ALIMENT.230 CASE/ STR.AEROPORTULUI 26A(CONS.10.2006)</t>
  </si>
  <si>
    <t>PUT ARTEZIAN NR.3084(D=200MM;H=131M-METAL), CAMIN  D=2M;H=2M-BETON/ AMPLASAT VIZAVI DE PUNCT TRECERE DE CENTRAL A COMBINAT'CODRU' (CONS.01.2004)</t>
  </si>
  <si>
    <t>CASTELUL DE APA BR-25(V=25M3;D=1.5M-METAL) LA PUT ARTEZIAN NR.1(1154)- S.GHIDIGHICI STR.DRUMUL BICULUI</t>
  </si>
  <si>
    <t>PUT ARTEZIAN NR.5(993)(D=250MM;H=215M-CAMIN   D=2M;H=2M) S.GHIDIGHICI STR.NUCARILOR 2</t>
  </si>
  <si>
    <t>PUT ARTEZIAN NR.3(4431)( D=200MM;H=220M-CAMIN   D=2M;H=2M) S.GHIDIGHICI STR.VALICICA OMULUI 30A</t>
  </si>
  <si>
    <t>PUT ARTEZIAN NR.6(2492)(D=250MM;H=150M- CAMIN D=2M;H=2M) S.GHIDIGHICI STR.COMUNA DIN PARIS</t>
  </si>
  <si>
    <t>PUT ARTEZIAN NR.2(4785)D=150MM;H=240M- CAMIN D=2M;H=2M; S.GHIDIGHICI STR.ST.NEAGA 28A</t>
  </si>
  <si>
    <t>CASTEL DE APA BR=25(V=25M3;D=1.5M-METAL) LA PUT ARTEZIAN  NR.4(1009) /S.GHIDIGHICI STR.NUCARILOR</t>
  </si>
  <si>
    <t>POMPA  Z612 18-L6W CU MOTOR ELECTRIC/INSTALAT IN FINTINA ARTEZIANA NR.52 S.GHIDIGHICI</t>
  </si>
  <si>
    <t>POMPA Z612-23 CU MOTOR ELECTRIC/INSTALAT IN FINTINA ARTEZIANA NR.1009 S.GHIDIGHICI</t>
  </si>
  <si>
    <t>POMPA Z 612.23-L6W/FINTINA ARTEZIANA NR.1/SECT.GHIDIGHICI</t>
  </si>
  <si>
    <t>POMPA Z 612.18-3 LW/INSTALAT LA FINT.NR.2492 NR.6/SECT.GHIDIGHICI</t>
  </si>
  <si>
    <t>POMPA Z612 18-L6W/IN COMPLECT CU PANOU SENZOR NIVEL/INST.LA FINT.ARTEZ.NR.7-SATUL VATRA</t>
  </si>
  <si>
    <t>POMPA ZN612-17-L6W IN COMPLECT CU PANOU SENSOR NIVEL/FINTINA ARTEZIANA NR.4.S.GHIDIGHICI</t>
  </si>
  <si>
    <t>POMPA ZN 622 12-1.6W;Q=20M3;H=113M/MONTAT LA FINT. ARTEZIANA NR.3 S.GHIDIGHICI</t>
  </si>
  <si>
    <t xml:space="preserve">POMPA ATV 6-10-185/FINT.ARTEZIANA NR.2,SAT GHIDIGHICI </t>
  </si>
  <si>
    <t>POMPA ATV 10-63-110/STATIA POMPARE"GRIBOV"</t>
  </si>
  <si>
    <t xml:space="preserve">APEDUCT PE D=315MM L=127M;OTEL D=273MM L=12M;VANA D150MM-1BUC-  STR.CALEA MOSILOR </t>
  </si>
  <si>
    <t xml:space="preserve">LINIE ELECTICA CABLU 10KV L=750M-LINIE AERIANA 0.4KV  1800M/ FINTINA ARTEZIANA N1-8 S.GHIDIGHICI </t>
  </si>
  <si>
    <t>CASTEL DE APA VR=15 (V=15M3;D=1.5M-METAL) LA PUT ARTEZIAN NR.6(2492) S.GHIDIGHICI STR.COMUNA DIN PARIS 47B</t>
  </si>
  <si>
    <t>PANOU COMANDA/PROTECTIE TIP Q3D/40-75 S.GHIDIGHICI FINT.  ARTEZ.NR.6</t>
  </si>
  <si>
    <t xml:space="preserve">CAMERA PODULUI DE DEBIMETRARE SONDA GRIBOV (1 NIVEL;P=D1.7M;SP=2.26M2;H=2M;V=4.52M3-BETON ARMAT) </t>
  </si>
  <si>
    <t xml:space="preserve">PUT ARTEZIAN NR.4225(D=200MM;H=100MM; CAMIN   D=2M;H=2M-BETON) OR.DURLESTI STR.GRIBOV(CONS.12.2003) </t>
  </si>
  <si>
    <t xml:space="preserve">PUT ARTEZIAN'CARTUSA'NR.2(2940)(D=250MM;H=100M-METAL, CAMIN D=2M;H=2M-BETON) PR.DURLESTI,IN CIMP(CONS.12.2003) </t>
  </si>
  <si>
    <t xml:space="preserve">PUT ARTEZIAN'CARTUSA'NR.1(3672)(D=250MM;H=200M-METAL, CAMIN D=2M;H=2M- BETON)OR.DURLESTI,IN CIMP(CONS.12.2003) </t>
  </si>
  <si>
    <t xml:space="preserve">PUT ARTEZIAN'CARTUSA' NR.3(2948)(D=200MM;H=150M-METAL;  CAMIN D=2M;H=2M-BETON) OR.DURLESTI,IN CIMP(CONS.12.2003) </t>
  </si>
  <si>
    <t xml:space="preserve">PUT ARTEZIAN'CAUCAZ'NR.2809(D=250MM;H=150M-METAL; CAMIN  D=2M;H=2M-BETON) OR.DURLESTI STR.DIMO 124(COMS.05.2005) </t>
  </si>
  <si>
    <t xml:space="preserve">PUT ARTEZIAN(D=200MM;H=100M-METAL; CAMIN D=2M;H=2M-BETON) OR.DURLESTI STR.VIILOR( CONS.12.2003) </t>
  </si>
  <si>
    <t>POMPA ATV-6-10-185, AEROPORT,(CONS.122004) STR.DACIA 80/9</t>
  </si>
  <si>
    <t xml:space="preserve">CONDUCTA DE COMUNICARE FINTINA N6/ OTEL D=100MM L=15M  </t>
  </si>
  <si>
    <t xml:space="preserve">APEDUCT DE COMUNICARE EXTERIOARA GHIDIGHICI / FONTA D=400MM L=75M </t>
  </si>
  <si>
    <t xml:space="preserve">CONDUCTA DE COMUNICARE FINTINA N3 /OTEL D=100MM L=18M  </t>
  </si>
  <si>
    <t xml:space="preserve">CONDUCTA DE COMUNICARE FINTINA N5 /OTEL D=100MM L=9M  </t>
  </si>
  <si>
    <t xml:space="preserve">CONDUCTA DE COMUNICARE FINTINA N7 /OTEL D=100MM L=18M  </t>
  </si>
  <si>
    <t xml:space="preserve">CONDUCTA DE COMUNICARE FINTINA N8 /OTEL D=100MM L=12M  </t>
  </si>
  <si>
    <t xml:space="preserve">CONDUCTA DE COMUNICARE FINTINA N10 /OTEL D=100MM L=31M  </t>
  </si>
  <si>
    <t xml:space="preserve">PUT ARTEZIAN NR.3B(D=300MM;H=140M- METAL) STR.SPICULUI 291 (CONS.12.2003) </t>
  </si>
  <si>
    <t xml:space="preserve">CONDUCTA DE COMUNICARE FINTINA N4/ OTEL D=100MM L=18M  </t>
  </si>
  <si>
    <t xml:space="preserve">CONDUCTA I SUB FINTINA ARTEZIANA/ FONTA D=300MM L=519M </t>
  </si>
  <si>
    <t>CONDUCTA DE COMUNICARE/FINTINA ARTEZIANA 12,SP"GHIDIGHICI"/ POLIETILEN D=110MM,L=212M/STR.FEROVIARILOR 1/5</t>
  </si>
  <si>
    <t>CONDUCTA DE COMUNICARE,FINTINA ARTEZIANA 11/SP"GHIDIGHICI"/ D=110MM,L=112M POLIETILEN/STR.FEROVIARILOR 1/5</t>
  </si>
  <si>
    <t xml:space="preserve">POMPA SP-27-7 CU PULT DE COMANDA 3/7,5;CABLU 4X6 60M.L.,CU MUFA SVM-6;FINT.NR.5 GHIDIGHICI </t>
  </si>
  <si>
    <t>PUT ARTEZIAN NR.8(3626)PRIZA'BALISEVSC'( D=400MM;H=120M- METAL) STR.CALEA MOSILOR 7</t>
  </si>
  <si>
    <t>PUT ARTEZIAN NR.9(3627) PRIZA'BALISEVSC'( D=250MM;H=120M- METAL)STR.CALEA MOSILOR 7</t>
  </si>
  <si>
    <t xml:space="preserve">POMPA SP-27-7 CU PULT DE COMANDA 3/7,5;CABLU 4X6 60M.L.,CU MUFA SVM-6;FINT.NR.4 GHIDIGHICI </t>
  </si>
  <si>
    <t>POMPA SP-46-8 CU PULT DE COMANDA 3/13,CABLU 4/10MM 60M.L.;CU MUFA SVM 6; FINT.NR.11 GHIDIGHICI;</t>
  </si>
  <si>
    <t xml:space="preserve">POMPA SP-46-8 CU PUNCT DE COMANDA 3/13,CABLU 4/10MM 60M.L.,CU MUFA SVM 6;FINT.NR.1 GHIDIGHICI </t>
  </si>
  <si>
    <t xml:space="preserve">POMPA SP-46-8 CU PULT DE COMANDA 3/13,CABLU 4/10MM 60M.L.,CU MUFA SVM-6;FINT.NR.2 GHIDIGHICI </t>
  </si>
  <si>
    <t xml:space="preserve">POMPA SP-46-8 CU PULT DE COM.3/13;CABLU 4/10MM 60M.L.;CU MUFA SVM 6;FINT.NR.3 GHIDIGHICI </t>
  </si>
  <si>
    <t>POMPA SP-46-8 CU PULT DE COM.3/13;CABLU 4/10MM 60M.L.;CU MUFA SVM 6;FINT.NR.7 GHIDIGHICI</t>
  </si>
  <si>
    <t>POMPA SP-46-8 CU PULT DE COMANDA 3/13,CABLU 4/10MM 60M.L.,CU MUFA SVM 6;FINT.NR.8 GHIDIGHICI</t>
  </si>
  <si>
    <t xml:space="preserve">POMPA SP-46-8 CU PULT DE COMANDA 3/13,CABLU 4/10MM 60M.L.,CU MUFA SVM-6;FINT.NR.10 GHIDIGHICI </t>
  </si>
  <si>
    <t xml:space="preserve">POMPA SP-46-8 CU PULT DE COMANDA 3/13,CABLU 4/10MM 60M.L.,CU MUFA SVM 6;FINT.NR.12 GHIDIGHICI </t>
  </si>
  <si>
    <t>POMPA ATV 10-63-110; FINTINA NR.13 PETRICANI(CONS.12.2003)</t>
  </si>
  <si>
    <t xml:space="preserve">POMPA SP 60-6;FANTINA NR.4 PETRICANI </t>
  </si>
  <si>
    <t>POMPA SP46-6 IN COMPLECT CU DULAP DE COMANDA 9.2 KW, CABLU CRPT 3X6+1X4=80ML,CU COMPLECT DE MUFE M2. FANT.ARTEZ.NR5 BALSEVSC</t>
  </si>
  <si>
    <t>CONDUCTA DE ALIMENTARE CU APA PREFABRICATA COMPLEX DE APA POTABILA SI TEHNICA/  FONTA D=300MM L=1508M;D=150MM L=614M;D=100MM L=59M</t>
  </si>
  <si>
    <t>GAZODUCT DE PRESIUNE JOASA SPRE TURNUL DE APA/ OTEL-D=25MM L=33M;D=40MM,L=6M/ S.GOIANUL NOU</t>
  </si>
  <si>
    <t>PAVILION DE EXPLOATARE(1 NIVEL;Stot=15M2- PIATRA ALBA/LEMN) NR.2422 S.GOIANUL NOU STR.V.ALEXANDRI 49A</t>
  </si>
  <si>
    <t>GARD,STILPI DE BETON 15BUC;STR.CANTEMIR 10A(P=35M;SP=70M2;H=2M-PLASA DIN METAL) SINGERA</t>
  </si>
  <si>
    <t>Castel de apa ,volum 15m3, lungimea piciorului H=12m, s. Ghidighici, mun. Chisinau</t>
  </si>
  <si>
    <t>PANOU COMANDA Q3D/75-95 7.5KV/MONT.LA PUT ARTEZIAN NR.5(993)  S.GHIDIGHICI</t>
  </si>
  <si>
    <t>PANOU COMANDA Q3D/40-75 7.5KV/MONT.LA PUT ARTEZIAN NR.6(2492)  S.GHIDIGHICI</t>
  </si>
  <si>
    <t>PANOU COMANDA Q3D/75-95 7.5KV/MONT.LA PUT ARTEZIAN NR.1(1154)  S.GHIDIGHICI</t>
  </si>
  <si>
    <t>POMPA ZN 612-09-L6W CU ELECTROMOTOR/MONT.LA PUT ARTEZIAN  NR.2(4785) S.GHIDIGHICI</t>
  </si>
  <si>
    <t>POMPA ZN 612-13-L6W CU ELECTROMOTOR/MONT.LA PUT ARTEZIAN  NR.5(993) S.GHIDIGHICI</t>
  </si>
  <si>
    <t>POMPA ZN 612-12-L6W CU ELECTROMOTOR/MONT.LA PUT ARTEZIAN  NR.1(1154) S.GHIDIGHICI</t>
  </si>
  <si>
    <t>POMPA Z612 18-L6W/FANTANA ARTEZIANA NR.4 S.GHIDIGHICI</t>
  </si>
  <si>
    <t>Panou electric Q 3D/40-75 5.5 kW, de comanda a pompei submersibile. Put artezian nr. 5(993) in s. Ghidighici</t>
  </si>
  <si>
    <t>GARD DIN PLACI SONDA GRIBOV(L=310M;SP=620M2;H=2M-BETON ARMAT)</t>
  </si>
  <si>
    <t>REZERVUAR 'ROJINOVSCHI' (LA BRIG.DE TRACTOARE) S.CRUZESTI(H=15M;V=15M3-METAL)</t>
  </si>
  <si>
    <t>PLANTATII MULTIANUALE DE PROTECTIE/ DE LA FINTINILE ARTEZIENE S=1200 M2</t>
  </si>
  <si>
    <t>PUT ARTEZIAN NR.827 (D=250MM;H=185M-METAL CAMIN  D=2M;H=2M- BETON(CONS.01.2004) STR.DACIA 80/9/AEROPORT</t>
  </si>
  <si>
    <t>PUT ARTEZIAN NR.10(2476) (D=250MM;H=135M- METAL) PRIZA S.GHIDIGHICI STR.FEROVIARILOR 1/5</t>
  </si>
  <si>
    <t xml:space="preserve">PUT ARTEZIAN NR.4420(D=200MM;H=160M-METAL; CAMIN  D=2M;H=2M) S.GRATIESTI STR.PRIETENIEI (CONS.12.2003) </t>
  </si>
  <si>
    <t>CASTEL DE APA TIP'ROJNOVSCHI'/ 2 BUCATI(V=35M3;D=1.5M;H= 12M) S.GOIANUL NOU STR.V.ALEXANDRI</t>
  </si>
  <si>
    <t>STATIE PROTECTIE SZ/RDM"POTOC-8 3C2"NR.UZINA 304/MONT.LA FINT.ARTEZIANA NR.5 S.GHIDIGHICI</t>
  </si>
  <si>
    <t>DULAP DE DIRIJARE A REZERVOAR CU TRADUCTORI DE NIVEL LA SONDA NR.2422,MODUL EXIN-232-BD/S.GOIANUL NOU,STR.ALEXANDRI 1</t>
  </si>
  <si>
    <t>PUT ARTEZIAN NR.2(4403)(D=160MM;H=160M-METAL) CAMIN   D=2M;H=2M-BETON/ OR.SINGERA STR.CANTEMIR 10A  (CONS.01.2015)</t>
  </si>
  <si>
    <t>CASTEL DE APA BR=25(V=25M3;D=1.5M-METAL) LA PUT ARTEZIAN NR.5 S.GHIDIGHICI STR.NUCARILOR 2</t>
  </si>
  <si>
    <t>POMPA 6-6VS 14/18 50-6 CU MOTOR GRL-9.3-380/416-50-W-SB LEAD- INSTAL.IN FINT.ARTEZIANA NR.2  S.GHIDIGHICI</t>
  </si>
  <si>
    <t>PUT ARTEZIAN NR.1(1154)/D=250MM H=240M/CAMIN   D=2M;H=2M-S.GHIDIGHICI STR.DRUMUL BICULUI  integral</t>
  </si>
  <si>
    <t xml:space="preserve">PAVILION DEASUPRA FANTANII ARTEZIENE NR.2(2511) (1 NIVEL;Stot=5M2- BETON ARMAT) MUN.CHISINAU ZONA INDUSTR.VATRA STR.FEROVIARILOR 1/5 </t>
  </si>
  <si>
    <t xml:space="preserve">PAVILION DEASUPRA FANTANIIARTEZIENE NR.3(4003) (1 NIVEL;Stot=2.8M2- BETON ARMAT)MUN.CHISINAU VATRA,STR.FEROVIARILOR 1/5 </t>
  </si>
  <si>
    <t>PAVILION DEASUPRA FANTANII ARTEZIENE NR.4(2497)) (1 NIVEL;S.TOT=5.2M2- BETON ARMAT) MUN.CHISINAU ZONA INSUSTRIALA VATRA STR.FEROVIARILOR 1/5</t>
  </si>
  <si>
    <t>PAVILION DEASUPRA FANTANII ARTEZIENE NR.5(2485) (1 NIVEL;S.TOT=6M2- BETON ARMAT) MUN.CHISINAU ZONA INDUSTRIALA VATRA STR.FEROVIARILOR 1/5</t>
  </si>
  <si>
    <t>PAVILION DEASUPRA FANTANII ARTEZIENE NR.6(2481) (1 NIVEL;S.TOT=5.2M2- BETON ARMAT) MUN.CHISINAU ZONA INDUSTRIALA VATRA STR.FEROVIARILOR 1/5</t>
  </si>
  <si>
    <t>PAVILION DEASUPRA FANTANII ARTEZIENE NR.7(2482) (1 NIVEL;S.TOT=5.2M2- BETON ARMAT)MUN.CHISINAU ZONA INDUSTRIALA VATRA STR.FEROVIARILOR  5.2</t>
  </si>
  <si>
    <t>PAVILION DEASUPRA FANTANII ARTEZIENE NR.9(2521) (1 NIVEL;S.TOT=5.2M2- BETON ARMAT)MUN.CHISINAU ZONA INDUSTRIALA VATRA STR.FEROVIARILOR 1/5</t>
  </si>
  <si>
    <t>PAVILION DEASUPRA FANTANII ARTEZIENE NR.10(2476) (1 NIVEL;S.TOT=4.5M2- BETON ARMAT)MUN.CHISINAU ZONA INDUSTRIALA VATRA STR.FEROVIARILOR  1/5</t>
  </si>
  <si>
    <t>PAVILION DEASUPRA FANTANII ARTEZIAN NR.11(2475) (1 NIVEL;S.TOT=5.2M2- BETON ARMAT)MUN.CHISINAU ZONA INDUSTRIALA VATRA STR.FEROVIARILOR 1/5</t>
  </si>
  <si>
    <t>PAVILION DEASUPRA FANTANII ARTEZIENE NR.12(2473) (1 NIVEL;S.TOT=4.5M2- BETON ARMAT) MUN.CHISINAU ZONA INDUSTRIALA VATRA STR.FEROVIARILOR 1/5</t>
  </si>
  <si>
    <t>PAVILION DEASUPRA FANTANII ARTEZIENE NR.5(3623)'BALISEVSC' (1 NIVEL;Stot=3.1M2-BETON ARMAT / STR.CALEA BASARABIEI F/N</t>
  </si>
  <si>
    <t>PAVILION DEASUPRA FANTANII ARTEZIENE NR.6(3624) 'BALISEVSC' (1 NIVEL;Stot-3.1M2-BETON ARMAT/STR.CALEA BASARABIEI F/N</t>
  </si>
  <si>
    <t>PAVILION DEASUPRA FANTANII ARTEZIENE NR.7H K 4B(3625) 'BALISEVSC'(1 NIVEL;Stot=3.1M2- BETON ARMAT/STR.CALEA BASARABIEI F/N</t>
  </si>
  <si>
    <t>PAVILION DEASUPRA FANTANII ARTEZIENE NR.9(3627)'BALISEVSC'(1 NIVEL;Stot=3.1M2- BETON ARMAT/STR.CALEA BASARABIEI F/N</t>
  </si>
  <si>
    <t>PAVILION DEASUPRA FANTANII ARTEZIENE NR.1(225) (1 NIVEL;Stot=5.0M2-BETON ARMAT) STR.PETRICANI F/N</t>
  </si>
  <si>
    <t>PAVILION DEASUPRA FANTANII ARTEZIENE NR.2(7) (1 NIVEL;Stot=5.0M2-BETON ARMAT) STR.PETRICANI F/N</t>
  </si>
  <si>
    <t>PAVILION DEASUPRA FANTANII ARTEZIENE NR.4(268) (1 NIVEL;Stot=5M2-BETON ARMAT) STR.PETRICANI 27</t>
  </si>
  <si>
    <t>PAVILION DEASUPRA FANTANII ARTEZIENE NR.5(12) (1 NIVEL;Stot=19.6M2-BETON ARMAT) STR.PETRICANI F/N</t>
  </si>
  <si>
    <t>PAVILION DEASUPRA FANTANII ARTEZIENE NR.6(269) (1 NIVEL;Stot=19.6M2-BETON ARMAT) STR.PETRICANI F/N</t>
  </si>
  <si>
    <t>PAVILION DEASUPRA FANTANII ARTEZIENE NR.10(1953) (1 NIVEL;Stot=5M2-BETON ARMAT) STR.PETRICANI F/N</t>
  </si>
  <si>
    <t>PAVILION DEASUPRA FANTANII ARTEZIENE NR.11(1063) (1 NIVEL;Stot=5M2 -BET.ARMAT) STR.PETRICANI F/N</t>
  </si>
  <si>
    <t>PAVILION DEASUPRA FANTANII ARTEZIENE NR.13(3952) (1 NIVEL;Stot=5M2-BET.ARMAT) STR.PETRICANI F/N</t>
  </si>
  <si>
    <t>PUT ARTEZIAN NR.5(1127) (D=300MM;H=150M- METAL)STR.PETRICANI (CONS.12.2003)</t>
  </si>
  <si>
    <t>PUT ARTEZIAN NR.6(269) (D=300MM;H=152M-METAL)  STR.PETRICANI (CONS.12.2003)</t>
  </si>
  <si>
    <t>PAVILION DEASUPRA FANTANII ARTEZIENE NR.8(2522) (1 NIVEL;S.TOT=5.2M2- BETON ARMAT)MUN.CHISINAU ZONA INDUSTRIALA VATRA STR.FEROVIARILOR 1/5</t>
  </si>
  <si>
    <t xml:space="preserve">INCAPERI ALE STATIEI DE POMPARE,TR.I(2 NIVEL; Stot=26.7M2-PIATRA ALBA/BET.ARM STR.PUSCHIN 62  </t>
  </si>
  <si>
    <t xml:space="preserve">PAVILION DEASUPRA FANTANII ARTEZIENE NR.12(2242) (1 NIVEL;Stot=5M2-BETON ARMAT) STR.PETICANI F/N </t>
  </si>
  <si>
    <t>POMPA ZN612-09-LW S.GHIDIGHICI PUT ARTEZIAN NR.6</t>
  </si>
  <si>
    <t>GARD,STILPI DIN BETON(PUT ARTEZIAN DURLESTI) STR.VIILOR(L=190M;SP=380M2;H=2M-METAL)</t>
  </si>
  <si>
    <t xml:space="preserve">CONDUCTA DE COMUNICARE FINTINA N2/ OTEL-D=100MM,L=20M.  </t>
  </si>
  <si>
    <t xml:space="preserve">POMPA SP-27-7 CU PULT DE COMANDA 3/7,5;CABLU 4X6 60M.L.,CU MUFA SVM-6;FINT.NR.6 GHIDIGHICI </t>
  </si>
  <si>
    <t>PUT ARTEZIAN NR.7(3625) PRIZA 'BALISEVSC'( D=250MM;H=120M- METAL) STR.CALEA MOSILOR 7</t>
  </si>
  <si>
    <t>APEDUCT TREAPTA I /FONTA D=150-400MM L=3354,5M.</t>
  </si>
  <si>
    <t>PUT ARTEZIAN NR.1(225) (D=300MM;H=157M- METAL) STR.PETRICANI (CONS.12.2003/DECONS.042022)</t>
  </si>
  <si>
    <t>PUT ARTEZIAN NR.4(268) (D=350MM;H=140M- METAL)STR.PETRICANI(CONSERV.01.2015/DECONS.042022)</t>
  </si>
  <si>
    <t>PUT ARTEZIAN NR.10(1953) (D=250MM;H=132M- METAL)STR.PETRICANI (CONS.12.2003/DECONS.042022)</t>
  </si>
  <si>
    <t>PUT ARTEZIAN NR.12(2242) (D=300MM;H=155M- METAL) STR.PETRICANI (CONS.12.2003/DECONS-042022)</t>
  </si>
  <si>
    <t>PUT ARTEZIAN NR.13(3952) (D=300MM;H=132M- METAL) STR.PETRICANI (CONS.12.2003/DECONS-042022)</t>
  </si>
  <si>
    <t>POMPA SP 46-6 CU MOTOR/CAPACITATEA 46 M3/ORA.H-6M(CONS.12.2003DECONS-042022)</t>
  </si>
  <si>
    <t>POMPA SP 27-7CU MOTOR/CAPACITATEA 27 M3/H-7M/ORA-FINTINA ARTEZIANA NR.12 PETRICANI(CONS.12.2003/DECONSER-042022)</t>
  </si>
  <si>
    <t>POMPA SP 60-6 CU MOTOR /CAPACITATEA 60 M3/0RA/H-6 M/FINTINA ARTEZIANA NR.1 PETRICANI(CONS.12.2003/DECONS-042022)</t>
  </si>
  <si>
    <t>POMPA SP 27-7 CU MOTOR/CAPACITATEA 27 M3/H-7M/FINTINA ARTEZIANA NR.10-PETRICANI(CONS.12.2003/DECONS-042022)</t>
  </si>
  <si>
    <t>PUT ARTEZIAN NR.4(1009)( D=250MM;H=230M-CAMIN  D=2M;H=2M)- S.GHIDIGHICI STR.NUCARILOR  integral</t>
  </si>
  <si>
    <t>Vana D100mm la conducta de comunicare, f/a N12, Priza de apa Ghidighici</t>
  </si>
  <si>
    <t>APARAT DE CONTROL R-100-CONTROLLER P1 00347822 Y20 GRUNDFOS  P/T DIRIJAREA SI CONTROL PARAM.DE LUCRU CU PANOUL DE COM.</t>
  </si>
  <si>
    <t>PULT DE COMANDA R-100-CONTROLLER P1 00347822 Y20 GRUNDFOS P/T  DIRIJAREA SI CONTROL PARAM.DE LUCRU CU PANOUL DE COM.</t>
  </si>
  <si>
    <t>SONIC WALTER LEVER METER,TIP WL200U</t>
  </si>
  <si>
    <t>POMPA GNOM 40-25 5.5KW 380V Q-40M3/H H-25M</t>
  </si>
  <si>
    <t>MOTOPOMPA KTR 5X,700/MIB 29M"SUBARU 5/STR.SUDENTILOR 14A</t>
  </si>
  <si>
    <t>PANOU COMANDA Q3D/92-110 P=13KW(MOBIL)-STR.STUDENTILOR 14</t>
  </si>
  <si>
    <t>GENERATOR ELECTRIC LX4000/P-U ALIMENT.CU ENERG.ELECTR/U-3 80V;P-4 KW/STR.STUDENTILOR,14A</t>
  </si>
  <si>
    <t>ELECTROPALAN 1.5 1.5TN.H-6.0M.</t>
  </si>
  <si>
    <t>MASINA DE ASCUTIT MODEL 348</t>
  </si>
  <si>
    <t>DEBITMETRU DF 868-2/INST.LA ATELIERUL DE REPARATII STR.STUDENTILOR 14a</t>
  </si>
  <si>
    <t>Vana  fonta ductila d=100mm la Put artezian nr.1(1154),  s. Ghidighici</t>
  </si>
  <si>
    <t>Vana din fonta ductila D-100mm,   Put artezian nr.2(4785), s. Ghidighici</t>
  </si>
  <si>
    <t>PUT ARTEZIAN NR.12(2473) (D=300MM;H=135M- METAL) PRIZA S.GHIDIGHICI STR.FEROVIARILOR 1/5  integral</t>
  </si>
  <si>
    <t>Cablu  H07RN-F 4*10, L=200m, de alimentare  cu energie electrica a pompei submersibile DSPPAS, s. Ghidighici</t>
  </si>
  <si>
    <t>POMPA SUBMERSIBILA ZN12 11-L6W Q=10M3/H;H=113M;P=5.5 K,W- (MOBILA)- STR.STUDENTILOR 14</t>
  </si>
  <si>
    <t>Vana D150mm diin cadrul retelelor de distributie a apei, s. Goianul Nou</t>
  </si>
  <si>
    <t>Vana D100mm la conducta de comunicare f/a N11, s. Ghidighici</t>
  </si>
  <si>
    <t>Vana din fonta ductila D- 50  la reteaua de apeduct  din str. Nucarilor, 2, mun. Chişinău, s. Ghidighici</t>
  </si>
  <si>
    <t>FINTINA STR.SF.VINERI 38(APA POTABILA)(P=D1M;SP=0.785M2;H=20.5M; V=16.1M3-BETON ARMAT)</t>
  </si>
  <si>
    <t>SENSOR DE ALERTA LA PREZENTA GAZELOR -STR.STUDENTILOR 14</t>
  </si>
  <si>
    <t>Vana din fonta ductila D- 80  din sec. Ghidighici F/a Nr.3 (4431)  s. Ghidighici</t>
  </si>
  <si>
    <t>FINTINA STR.NUFERILOR 5(APA POTABILA)(P=D1M;SP=0.785M2; H=18.7M;V=14.7M3-BETON ARMAT)</t>
  </si>
  <si>
    <t>FINTINA STR.NUFERILOR 6(APA TEHNICA)(P=D1.2M;SP=1.13M2;H=14M;V=15.8M3-BETON ARMAT)</t>
  </si>
  <si>
    <t>FINTINA STR.ION INCULET 52(APA TEHNICA)(P=D1.2M;SP=1.13M2; H=15M;V=17M3-BETON ARMAT)</t>
  </si>
  <si>
    <t>FINTINA STR.ION INCULET 68(APA TEHNICA)(P=1.3M;SP=1.33M2; H=14M;V=18.6M3-BETON ARMAT)</t>
  </si>
  <si>
    <t>FINTINA SOS.COSTIUJENI 289.(APA POTABILA)</t>
  </si>
  <si>
    <t>FINTINA STR.SCHINOASA-VALE 19-A(APA POTABILA)(P=D 0.9M;SP=0.64M2; H=2.4M;V=1.5M3-BETON ARMAT)</t>
  </si>
  <si>
    <t>FINTINA STR.SCHINOASA-VALE 56(APA POTABILA)(P=D1M;SP=0.785M2; H=6.3M;V=4.9M3-BETON ARMAT)</t>
  </si>
  <si>
    <t>FINTINA STR.GH.CODREANU 24(APA POTABILA)(P=D1M;SP=0.785M2; H=7.3M;V=5.7M3-BETON ARMAT)</t>
  </si>
  <si>
    <t>FINTINA STR.GH.CODREANU 50(APA TEHNICA)(P=D1.1M;SP=0.95M2; H=13.8M;V=13.1M3-BETON ARMAT)</t>
  </si>
  <si>
    <t>FINTINA STR.GRIULUI 12(APA POTABILA)(P=D1M;SP=0.785M2;H=4.3M; V=3.4M3-BETON ARMAT)</t>
  </si>
  <si>
    <t>FINTINA STR.DRAGOMIRNA 24(APA POTABILA)(P=D1M;SP=0.785M2; H=12.2M;V=9.6M3-BETON ARMAT)</t>
  </si>
  <si>
    <t>FINTINA STR.DRUMUL TABEREI 52(APA POTABILA)(P=D1M;SP=0.785M2; H=15.6M;V=12.2M3-BETON ARMAT)</t>
  </si>
  <si>
    <t>FINTINA STR.COLONITA 160.(APA POTABILA)</t>
  </si>
  <si>
    <t>FINTINA STR.HIPODROMULUI 21(APA POTABILA)(P=D1.5M;SP=1.77MMM2; H=11M;V=19.5M3-BETON ARMAT)</t>
  </si>
  <si>
    <t>FINTINA STR.GRATIESTI 32(APA POTABILA)(P=D0.7M;SP=0.38M2; H=4.6M;V=1.7M3-BETON ARMAT)</t>
  </si>
  <si>
    <t>FINTINA STR.GRATIESTI 37(APA POTABILA)(P=D1.2M;SP=1.13M2; H=3.8M;V=4.3M3-BETON ARMAT)</t>
  </si>
  <si>
    <t>FINTINA STR.PODGORENILOR 95(APA POTABILA)(P=D0.9M;SP=0.064M2; H=5.2M;V=0.3M3-BETON ARMAT)</t>
  </si>
  <si>
    <t>FINTINA STR.CONSTRUCTORILOR 30(APA POTABILA)(P=D1M;SP=0.785M2; H=6.2M;V=4.9M3-BETON ARMAT)</t>
  </si>
  <si>
    <t>FINTINA STR.SIHASTRULUI 12.(APA TEHNICA)</t>
  </si>
  <si>
    <t>FINTINA STR.SCHINOASA DEAL 9.(APA POTABILA)</t>
  </si>
  <si>
    <t>FINTINA STR.SCHINOASA DEAL 57.(APA POTABILA)</t>
  </si>
  <si>
    <t>FINTINA STR.SCHINOASA DEAL 88.(APA POTABILA)</t>
  </si>
  <si>
    <t>FINTINA STR.V.LUPU 93.(APA POTABILA)</t>
  </si>
  <si>
    <t>FINTINA STR.ROSIORI 32(APA POTABILA)(P=D1M;SP=0.785M2;H=10.1M; V=7.9M3-BETON ARMAT)</t>
  </si>
  <si>
    <t>FINTINA STR.FINTINILOR 22(APA POTABILA)(P=D1.2M;SP=1.13M2; H=9.95M;V=11.2M3-BETON ARMAT)</t>
  </si>
  <si>
    <t>FINTINA STR.GH.CODREANU 81.(APA POTABILA)(P=D0.8M;SP=0.5M2; H=9.4M;V=4.7M3-BETON ARMAT)</t>
  </si>
  <si>
    <t>FINTINA STR.DRAGOMIRNA 34(APA TEHNICA)(P=D1M;SP=0.785M2;H=13M; V=10.3M3-BETON ARMAT)</t>
  </si>
  <si>
    <t>FINTINA STR.MUNCESTI 280(APA TEHNICA)(P=D1M;SP=0.785M2;H=11M; V=8.6M3-BETON ARMAT)</t>
  </si>
  <si>
    <t>FINTINA STR.MUNCESTI 624(APA POTABILA)(P=D1M;SP=0.785M2;H=6.31M; V=5M3-BETON ARMAT)</t>
  </si>
  <si>
    <t>FINTINA STR.MUNCESTI 686(APA TEHNICA)(P=D1M;SP=0.785M2; H=11M;V=8.6M3-BETON ARMAT)</t>
  </si>
  <si>
    <t>FINTINA STR.MUNCESTI 696(APA POTABILA)(P=D1M;SP=0.785M2; H=4.5M;V=3.5M3-BETON ARMAT)</t>
  </si>
  <si>
    <t>FINTINA STR.NUFERILOR 20(APA POTABILA)(P=D1M;SP=0.785M2; H=19.2M;V=15.1M3-BETON ARMAT)</t>
  </si>
  <si>
    <t>FINTINA STR.MUNCESTI 608 (APA TEHNICA)(P=D1M;SP=0.785M2;H=10M; V=7.9M-BETON ARMAT)</t>
  </si>
  <si>
    <t>FINTINA STR.INSORITA 93(APA POTABILA)(P=D0.7M;SP=0.38M2;H=13.6M; V=5.168M3-BETON ARMAT)</t>
  </si>
  <si>
    <t>FINTINA STR.DANTE 21(APA TEHNICA)(P=D1M;SP=0.785M2;H=18M; V=14.1M3-BETON ARMAT)</t>
  </si>
  <si>
    <t>FINTINA STR.VALEA TRANDAFIRILOR 11.(APA POTABILA)</t>
  </si>
  <si>
    <t>FINTINA STR.ST.HOLBAN 6(APA POTABILA)(P=D1M;SP=0.785M2;H=13.95M; V=11M3-BETON ARMAT)</t>
  </si>
  <si>
    <t>FINTINA STR.BISERICII 22(APA POTABILA)(P=D1M;SP=0.785M2;H=20M; V=15.7M3-BETON ARMAT)</t>
  </si>
  <si>
    <t>FINTINA STR.BISERICII 5(APA POTABILA)(P=D1M;SP=0.785M2;H=12M; V=9.4M3-BETON ARMAT)</t>
  </si>
  <si>
    <t>FINTINA STR.CIOCIRLIEI 23(APA POTABILA)(P=D1M;SP=0.785M2; H=12.5M;V=9.8M3-BETON ARMAT)</t>
  </si>
  <si>
    <t>FINTINA STR.CIOCIRLIEI 27(APA POTABILA)(P=D1M;SP=0.785M2; H=20.3M;V=15.9M3-BETON ARMAT)</t>
  </si>
  <si>
    <t>FINTINA STR.LA 1 CIOCARLIEI 5.(APA POTABILA)</t>
  </si>
  <si>
    <t>FINTINA STR.COSTIUJENI 50(APA POTABILA)(P=D1M;SP=0.785M2; H=17M;V=13.3M3-BETON ARMAT)</t>
  </si>
  <si>
    <t>FINTINA STR.SCHITULUI 13(APA POTABILA)(P=D1M;SP=0.785M2;H=9.7M; V=7.6M3-BETON ARMAT)</t>
  </si>
  <si>
    <t>FINTINA STR.DOBRUJA 18(APA POTABILA)(P=D1M;SP=0.785M2;H=5M; V=3.9M3-BETON ARMAT)</t>
  </si>
  <si>
    <t>FINTINA STR.ZARZAR 10(APA POTABILA)(P=D1M;SP=0.785M2;H=22M; V=17.3M3-BETON ARMAT)</t>
  </si>
  <si>
    <t>FINTINA STR.IMASULUI 10(APA POTABILA)(P=D1M;SP=0.785M2;H=4.9M; V=3.8M3-BETON ARMAT)</t>
  </si>
  <si>
    <t>FINTINA STR.LEUSENI 11(APA POTABILA)(P=0.65M;SP=0.33M2;H=7.5M; V=2.5M3-BETON ARMAT)</t>
  </si>
  <si>
    <t>FINTINA STR.LA HANUL MORII 10(APA POTABILA)(P=D0.8M;SP=0.5M2; H=6M;V=3M3-BETON ARMAT)</t>
  </si>
  <si>
    <t>FINTINA STR.HANUL MORII 36(APA POTABILA)(P=D1.3M;SP=1.33M2; H=11M;V=14.6M3-BETON ARMAT)</t>
  </si>
  <si>
    <t>FINTINA STR.COSASILOR 5(APA POTABILA)(P=D1M;SP=0.785M2;H=10.9M; V=8.6M3-BETON ARMAT)</t>
  </si>
  <si>
    <t>FINTINA STR.DECEMBRISTILOR 1(APA POTABILA)(P=D0.9M;SP=0.64M2; H=8.7M;V=5.6M3-BETON ARMAT)</t>
  </si>
  <si>
    <t>Cilti 200gr</t>
  </si>
  <si>
    <t>Ciment M400</t>
  </si>
  <si>
    <t>Cuie 100mm</t>
  </si>
  <si>
    <t>Clorura de var</t>
  </si>
  <si>
    <t>Cirpe</t>
  </si>
  <si>
    <t>Cuie 70mm</t>
  </si>
  <si>
    <t>Cherestea tivita cat.1</t>
  </si>
  <si>
    <t>Cablu H07RN-F 4*6,0 submersibil</t>
  </si>
  <si>
    <t>Cablu H07RN-F 4*4 EPR submersibil</t>
  </si>
  <si>
    <t>Ciment M500</t>
  </si>
  <si>
    <t>Electroade ANO d3mm</t>
  </si>
  <si>
    <t>Foie de metal Zincata 0.5x1000x2000</t>
  </si>
  <si>
    <t>Fereastra din lemn H=0.93m, L=0,65m</t>
  </si>
  <si>
    <t>Filet de teava DN50mm</t>
  </si>
  <si>
    <t>Fiting din otel cu filet DN15mm</t>
  </si>
  <si>
    <t>lant galvanizat veriga scurta d4mm</t>
  </si>
  <si>
    <t>Nisip cernut</t>
  </si>
  <si>
    <t>Otrava p/u soareci/200gr</t>
  </si>
  <si>
    <t>Pinza de podea/laveta</t>
  </si>
  <si>
    <t>Flanse DN50mm</t>
  </si>
  <si>
    <t>Panou de comanda si control/ 7.5-15kW,10-20HP,400V</t>
  </si>
  <si>
    <t>Pietris 20/40/aregate SGRT 16-32</t>
  </si>
  <si>
    <t>Sticla sodica lichida 1.1 kg</t>
  </si>
  <si>
    <t>Sarma ghimpata d1,8mm L170m</t>
  </si>
  <si>
    <t xml:space="preserve">Sirma arsa d3.0mm </t>
  </si>
  <si>
    <t>Rola abraziva 100mm*5m P80</t>
  </si>
  <si>
    <t>Stilpi B/A</t>
  </si>
  <si>
    <t>Surub WPC 4.2*41</t>
  </si>
  <si>
    <t>Surub KGD 4.8*100 Lemn</t>
  </si>
  <si>
    <t>Teava pe D110 PN10 PE100 SDR17x6.6</t>
  </si>
  <si>
    <t>Vopsea email palitra verde - aprins</t>
  </si>
  <si>
    <t>Vopsea email alchidic galben</t>
  </si>
  <si>
    <t>Vopsea email alchidic rosu</t>
  </si>
  <si>
    <t>Vopsea email alchidic verde - aprins</t>
  </si>
  <si>
    <t>Vopsea email alchidic azuriu</t>
  </si>
  <si>
    <t>Vopsea alchidic nova PLU galben</t>
  </si>
  <si>
    <t>Metal rotund d/90</t>
  </si>
  <si>
    <t>Foaie zincata 0.55x1000x2000</t>
  </si>
  <si>
    <t>Funie din Iutad-22</t>
  </si>
  <si>
    <t>Teava din PVC-U de presiune cu mufa DN1</t>
  </si>
  <si>
    <t>Teava otel D15x2.8</t>
  </si>
  <si>
    <t>Vana fonta D/50 PN16</t>
  </si>
  <si>
    <t>kg</t>
  </si>
  <si>
    <t>m3</t>
  </si>
  <si>
    <t>t</t>
  </si>
  <si>
    <t>m</t>
  </si>
  <si>
    <t>Benzina 95</t>
  </si>
  <si>
    <t>l</t>
  </si>
  <si>
    <t>Cot otel D89</t>
  </si>
  <si>
    <t>Teava otel D89x4.0</t>
  </si>
  <si>
    <t>Teava otel D108x4.0</t>
  </si>
  <si>
    <t>Ulei trimer 2T</t>
  </si>
  <si>
    <t>Unsoare litol-24</t>
  </si>
  <si>
    <t>TsH62B</t>
  </si>
  <si>
    <t>Degajarea terenurilor de frunze, gunoi si crengi mici, cu murdarie mare</t>
  </si>
  <si>
    <t>100m2</t>
  </si>
  <si>
    <t>TsH62A</t>
  </si>
  <si>
    <t>Degajarea terenurilor de frunze, gunoi si crengi mici, cu murdarie medie</t>
  </si>
  <si>
    <t>TsH92A</t>
  </si>
  <si>
    <t>Incarcarea in auto gunoi, frunze</t>
  </si>
  <si>
    <t>RpAcB18B</t>
  </si>
  <si>
    <t>RpAcB18C</t>
  </si>
  <si>
    <t>RpAcB18D</t>
  </si>
  <si>
    <t>CN17A</t>
  </si>
  <si>
    <t>Vopsitorii  cu vopsele si emailuri pe baza de rasini alchidice  aplicate pe timplarie din lemn, executate cu 2 straturi email alchidic inclusiv grundul</t>
  </si>
  <si>
    <t>m2</t>
  </si>
  <si>
    <t>CE05B1</t>
  </si>
  <si>
    <t>CE29A</t>
  </si>
  <si>
    <t>Sarpante din ferme la acoperisuri usoare executate  din lemn ecarisat, cu lungimea mai mica sau egala de 8 m, executate la un punct de lucru</t>
  </si>
  <si>
    <t>CN20B</t>
  </si>
  <si>
    <t>Vopsitorii interioare sau exterioare aplicate pe timplarie metalica cu email alchidic in  2 straturi inclusiv grundul</t>
  </si>
  <si>
    <t>CN20B1</t>
  </si>
  <si>
    <t>Vopsitorii interioare sau exterioare aplicate pe timplarie metalica cu email alchidic in  2 straturi inclusiv grundul, pentru aplicarea unui strat mai putin</t>
  </si>
  <si>
    <t>CN21A</t>
  </si>
  <si>
    <t>Vopsitorii la balustrade, grile si parapete metalice,executate cu  vopsele pe baza de ulei in 2 straturi</t>
  </si>
  <si>
    <t>CN21B</t>
  </si>
  <si>
    <t>Vopsitorii la balustrade, grile si parapete metalice executate cu email alchidic intr-un strat inclusiv grundul</t>
  </si>
  <si>
    <t>PK50A</t>
  </si>
  <si>
    <t>Sudura electrica manuala, pentru imbinarea pieselor metalice (table, corniere) de diferite grosimi, asezate prin suprapunere, avind grosimea de 5-10 mm</t>
  </si>
  <si>
    <t>RpCP03A</t>
  </si>
  <si>
    <t>Repararea usilor metalice, prin inlocuirea tabliilor din tabla</t>
  </si>
  <si>
    <t>RpCO43A</t>
  </si>
  <si>
    <t>Repararea usilor de lemn la garaje si ateliere obisnuite (cu balamale)</t>
  </si>
  <si>
    <t>AcA07B</t>
  </si>
  <si>
    <t>AcA07B1</t>
  </si>
  <si>
    <t>Pentru fiecare subtraversari cabluri, canale, telefonie, etc. se adauga</t>
  </si>
  <si>
    <t>AcA07A</t>
  </si>
  <si>
    <t>AcA07A1</t>
  </si>
  <si>
    <t>AcA10A</t>
  </si>
  <si>
    <t>AcA10A1</t>
  </si>
  <si>
    <t>AcA10B</t>
  </si>
  <si>
    <t>AcA10B1</t>
  </si>
  <si>
    <t>AcA10C</t>
  </si>
  <si>
    <t>AcA10C1</t>
  </si>
  <si>
    <t>RpAcA36A</t>
  </si>
  <si>
    <t>RpAcA36B</t>
  </si>
  <si>
    <t>RpAcA36C</t>
  </si>
  <si>
    <t>RpAcB14G</t>
  </si>
  <si>
    <t xml:space="preserve">Manevrarea (inchiderea si deschiderea) manuala  a vanelor montate in camin , in vederea izolarii diferitelor zone de retea, vanele avind diametrul 250-350 mm </t>
  </si>
  <si>
    <t>RpAcA21A</t>
  </si>
  <si>
    <t>RpAcH01A</t>
  </si>
  <si>
    <t>Evacuarea cu galeata, in spatii limitate, a apei provenite din neetanseitatea armaturilor din retea si efectuarea  reparatiilor</t>
  </si>
  <si>
    <t>ora</t>
  </si>
  <si>
    <t>RpAcH02C</t>
  </si>
  <si>
    <t>RpAcH02D</t>
  </si>
  <si>
    <t>RpAcH11A</t>
  </si>
  <si>
    <t>Dezinfectarea rezervoarelor inchise si deschise sau a puturilor de alimentare cu apa, executate cu solutii speciale prin stropirea rezervoarelor</t>
  </si>
  <si>
    <t>RpAcH11C</t>
  </si>
  <si>
    <t>Dezinfectarea rezervoarelor inchise si deschise sau a puturilor de alimentare cu apa, executate cu cloramina prin umplerea rezervoarelor</t>
  </si>
  <si>
    <t>RpAcH11D</t>
  </si>
  <si>
    <t>Dezinfectarea rezervoarelor inchise si deschise sau a puturilor de alimentare cu apa, executate cu cloramina la puturile de alimentare cu apa</t>
  </si>
  <si>
    <t>RpAcH09C</t>
  </si>
  <si>
    <t>RpAcH09A</t>
  </si>
  <si>
    <t>RpAcB42B</t>
  </si>
  <si>
    <t>Demontarea armaturilor cu actionare manuala sau mecanica, la conductele de alimentare cu  apa, avind diametrul de 300-700 mm</t>
  </si>
  <si>
    <t>TsH63B</t>
  </si>
  <si>
    <t>Cosirea gazonului cu motocositoarea si greblarea ierbii, KN-1</t>
  </si>
  <si>
    <t>TsH74A</t>
  </si>
  <si>
    <t>Taierea crengilor (cu curatirea coiturilor) cu ferestraul mecanic din autoturn in conditii restrinse de lucru la arbori cu diametrul 11-30 cm</t>
  </si>
  <si>
    <t>CN01A</t>
  </si>
  <si>
    <t>Zugraveli simple pe baza de lapte de var, executate la interior sau exterior pe orice suprafata suport cu doua straturi de lapte de var (spoeli)</t>
  </si>
  <si>
    <t>CN17A1</t>
  </si>
  <si>
    <t>Vopsitorii  cu vopsele si emailuri pe baza de rasini alchidice  aplicate pe timplarie din lemn, executate cu 2 straturi email alchidic inclusiv grundul. Pentru aplicarea unui singur strat</t>
  </si>
  <si>
    <t>CN23F1</t>
  </si>
  <si>
    <t>Vopsitorii de calitate obisnuita la instalatii functionale, executate cu email alchidic (Termolux) pe conducte avin diametrul exterior peste 34 mm inclusiv</t>
  </si>
  <si>
    <t>RpAcA34A</t>
  </si>
  <si>
    <t>RpAcA34B</t>
  </si>
  <si>
    <t>RpAcA34C</t>
  </si>
  <si>
    <t>RpIF02A</t>
  </si>
  <si>
    <t>Curatarea de rugina sau de depuneri a recipientilor, rezervoarelor etc., in interior si in exterior</t>
  </si>
  <si>
    <t>RpAcA30A</t>
  </si>
  <si>
    <t>Taierea in sant, cu flacara oxiacetilenica,  a tevilor din otel, avind diametrul de 200-300 mm</t>
  </si>
  <si>
    <t>RpAcA30B</t>
  </si>
  <si>
    <t>Taierea in sant, cu flacara oxiacetilenica,  a tevilor din otel, avind diametrul de 350-400 mm</t>
  </si>
  <si>
    <t>RpAcB14B</t>
  </si>
  <si>
    <t xml:space="preserve">Manevrarea (inchiderea si deschiderea) manuala  a vanelor montate in pamint , in vederea izolarii diferitelor zone de retea, vanele avind diametrul 250-350 mm </t>
  </si>
  <si>
    <t>RpAcB14C</t>
  </si>
  <si>
    <t xml:space="preserve">Manevrarea (inchiderea si deschiderea) manuala  a vanelor montate in pamint , in vederea izolarii diferitelor zone de retea, vanele avind diametrul 400-500 mm </t>
  </si>
  <si>
    <r>
      <t xml:space="preserve">Repararea vanelor din fonta de pe bransamente sau conducte de apa, fara inlocuirea axului filetat, vanele avind diametrul de 50-100 mm </t>
    </r>
    <r>
      <rPr>
        <sz val="10"/>
        <color theme="1"/>
        <rFont val="Times New Roman"/>
        <family val="1"/>
        <charset val="204"/>
      </rPr>
      <t>Materiale marunte ( petrol, hirtie slefuit, grund minium)=1,03</t>
    </r>
  </si>
  <si>
    <r>
      <t xml:space="preserve">Repararea vanelor din fonta de pe bransamente sau conducte de apa, fara inlocuirea axului filetat, vanele avind diametrul de 125-200 mm </t>
    </r>
    <r>
      <rPr>
        <sz val="10"/>
        <color theme="1"/>
        <rFont val="Times New Roman"/>
        <family val="1"/>
        <charset val="204"/>
      </rPr>
      <t>Materiale marunte  ( petrol, hirtie slefuit, grund minium)=1,03</t>
    </r>
  </si>
  <si>
    <r>
      <t xml:space="preserve">Repararea vanelor din fonta de pe bransamente sau conducte de apa, fara inlocuirea axului filetat, vanele avind diametrul de 250-350 mm </t>
    </r>
    <r>
      <rPr>
        <sz val="10"/>
        <color theme="1"/>
        <rFont val="Times New Roman"/>
        <family val="1"/>
        <charset val="204"/>
      </rPr>
      <t>Materiale marunte  ( petrol, hirtie slefuit, grund minium)=1,02</t>
    </r>
  </si>
  <si>
    <r>
      <t xml:space="preserve">Repararea vanelor din fonta de pe bransamente sau conducte de apa, fara inlocuirea axului filetat, vanele avind diametrul de 400-600 mm </t>
    </r>
    <r>
      <rPr>
        <sz val="10"/>
        <color theme="1"/>
        <rFont val="Times New Roman"/>
        <family val="1"/>
        <charset val="204"/>
      </rPr>
      <t>Materiale marunte  ( petrol, hirtie slefuit, grund minium)=1,02</t>
    </r>
  </si>
  <si>
    <r>
      <t>Invelitori din tabla plana zincata sau tabla plana protejata anticoroziv,fixata cu agrafe, executata cu incheeturi duble in ambele sensuri,  executate pe suprafete mai mici sau egali cu 40 mp cu foi din tabla de 0,5 mm grosime, inclusiv executarea doliilor, sorturilor, racordurilor la cosuri etc.</t>
    </r>
    <r>
      <rPr>
        <sz val="10"/>
        <color theme="1"/>
        <rFont val="Times New Roman"/>
        <family val="1"/>
        <charset val="204"/>
      </rPr>
      <t xml:space="preserve"> Material marunt (ulei mineral,alb de zinc, cositor, aliaj,vopsea de miniu de plumb gata prep.)=1,05</t>
    </r>
  </si>
  <si>
    <r>
      <t>Montarea in pamint, in exteriorul cladirilor, a tevilor din PVC tip 4(G) sau 3(M), avind diametrul de 110-160 mm</t>
    </r>
    <r>
      <rPr>
        <sz val="10"/>
        <color theme="1"/>
        <rFont val="Times New Roman"/>
        <family val="1"/>
        <charset val="204"/>
      </rPr>
      <t xml:space="preserve"> Materiale marunte (dicloretan, apa)=1,02</t>
    </r>
  </si>
  <si>
    <r>
      <t>Montarea in pamint, in exteriorul cladirilor, a tevilor din PVC tip 4(G) sau 3(M), avind diametrul de 25-90 mm</t>
    </r>
    <r>
      <rPr>
        <sz val="10"/>
        <color theme="1"/>
        <rFont val="Times New Roman"/>
        <family val="1"/>
        <charset val="204"/>
      </rPr>
      <t xml:space="preserve"> Materiale marunte (dicloretan, apa)=1,02</t>
    </r>
  </si>
  <si>
    <r>
      <t>Montarea in pamint a tevilor din polietilena de presiune, de inalta densitate, destinate alimentarilor cu apa, asamblate prin sudura cap la cap, conform normativului I-6-PE,  avind diametrul de 110-140 mm</t>
    </r>
    <r>
      <rPr>
        <sz val="10"/>
        <color theme="1"/>
        <rFont val="Times New Roman"/>
        <family val="1"/>
        <charset val="204"/>
      </rPr>
      <t xml:space="preserve"> Materiale marunte (lichid de curatire, cirpe)=1,02</t>
    </r>
  </si>
  <si>
    <r>
      <t>Montarea in pamint a tevilor din polietilena de presiune, de inalta densitate, destinate alimentarilor cu apa, asamblate prin sudura cap la cap, conform normativului I-6-PE,  avind diametrul de 160-200 mm</t>
    </r>
    <r>
      <rPr>
        <sz val="10"/>
        <color theme="1"/>
        <rFont val="Times New Roman"/>
        <family val="1"/>
        <charset val="204"/>
      </rPr>
      <t xml:space="preserve"> Materiale marunte (lichid de curatire, cirpe)=1,015</t>
    </r>
  </si>
  <si>
    <r>
      <t>Montarea in pamint a tevilor din polietilena de presiune, de inalta densitate, destinate alimentarilor cu apa, asamblate prin sudura cap la cap, conform normativului I-6-PE,  avind diametrul de 250-315 mm</t>
    </r>
    <r>
      <rPr>
        <sz val="10"/>
        <color theme="1"/>
        <rFont val="Times New Roman"/>
        <family val="1"/>
        <charset val="204"/>
      </rPr>
      <t xml:space="preserve"> Materiale marunte (lichid de curatire, cirpe)=1,01</t>
    </r>
  </si>
  <si>
    <r>
      <t>Imbinarea prin sudura electrica a flanselor, sau a  pieselor de legatura din otel, la capatul tevilor, avind diametrul de 50-100 mm</t>
    </r>
    <r>
      <rPr>
        <sz val="10"/>
        <color theme="1"/>
        <rFont val="Times New Roman"/>
        <family val="1"/>
        <charset val="204"/>
      </rPr>
      <t xml:space="preserve"> Materiale marunte=1,05</t>
    </r>
  </si>
  <si>
    <r>
      <t>Imbinarea prin sudura electrica a flanselor, sau a  pieselor de legatura din otel, la capatul tevilor, avind diametrul de 125-150 mm</t>
    </r>
    <r>
      <rPr>
        <sz val="10"/>
        <color theme="1"/>
        <rFont val="Times New Roman"/>
        <family val="1"/>
        <charset val="204"/>
      </rPr>
      <t xml:space="preserve"> Materiale marunte=1,05</t>
    </r>
  </si>
  <si>
    <r>
      <t>Imbinarea prin sudura electrica a flanselor, sau a  pieselor de legatura din otel, la capatul tevilor, avind diametrul de 300-400 mm</t>
    </r>
    <r>
      <rPr>
        <sz val="10"/>
        <color theme="1"/>
        <rFont val="Times New Roman"/>
        <family val="1"/>
        <charset val="204"/>
      </rPr>
      <t xml:space="preserve"> Materiale marunte=1,05</t>
    </r>
  </si>
  <si>
    <r>
      <t>Repararea conductelor din otel, fisurate, prin montarea unei eclise din tabla neagra, cu grosimea de 5-6 mm</t>
    </r>
    <r>
      <rPr>
        <sz val="10"/>
        <color theme="1"/>
        <rFont val="Times New Roman"/>
        <family val="1"/>
        <charset val="204"/>
      </rPr>
      <t xml:space="preserve"> Materiale marunte(grund, cirpe) din val. materialelor=1,005</t>
    </r>
  </si>
  <si>
    <r>
      <t>Evacuarea apei din sapaturi, mecanic, cu motopompa de apa de 6-8 CP</t>
    </r>
    <r>
      <rPr>
        <sz val="10"/>
        <color theme="1"/>
        <rFont val="Times New Roman"/>
        <family val="1"/>
        <charset val="204"/>
      </rPr>
      <t xml:space="preserve"> Mat. marunte (cirpe de stors, motorina)=1,02</t>
    </r>
  </si>
  <si>
    <r>
      <t>Evacuarea apei din sapaturi, mecanic, cu electropompa de 2.8-8 kW</t>
    </r>
    <r>
      <rPr>
        <sz val="10"/>
        <color theme="1"/>
        <rFont val="Times New Roman"/>
        <family val="1"/>
        <charset val="204"/>
      </rPr>
      <t xml:space="preserve"> Mat. marunte (cirpe de stors, motorina)=1,03</t>
    </r>
  </si>
  <si>
    <r>
      <t>Curatarea si spalarea manuala a rezervoarelor din beton armat de vegetatie acvatica si bacterii</t>
    </r>
    <r>
      <rPr>
        <sz val="10"/>
        <color theme="1"/>
        <rFont val="Times New Roman"/>
        <family val="1"/>
        <charset val="204"/>
      </rPr>
      <t xml:space="preserve"> Mat. marunte (cirpe de sters)=1,05</t>
    </r>
  </si>
  <si>
    <r>
      <t>Curatarea si spalarea manuala a rezervoarelor din beton armat de vegetatie acvatica si bacterii, avind depuneri cu grosimea de 0-5 cm</t>
    </r>
    <r>
      <rPr>
        <sz val="10"/>
        <color theme="1"/>
        <rFont val="Times New Roman"/>
        <family val="1"/>
        <charset val="204"/>
      </rPr>
      <t xml:space="preserve"> Mat. marunte (cirpe de sters)=1,05</t>
    </r>
  </si>
  <si>
    <r>
      <t>Imbinarea cu flanse libere a tuburilor, pieselor de legatura si armaturilor, la conducte avind diametrul de 50-100 mm</t>
    </r>
    <r>
      <rPr>
        <sz val="10"/>
        <color theme="1"/>
        <rFont val="Times New Roman"/>
        <family val="1"/>
        <charset val="204"/>
      </rPr>
      <t xml:space="preserve"> Materiale marunta (benzina, lac, bitum)din valoarea materialelor=1,03</t>
    </r>
  </si>
  <si>
    <r>
      <t>Imbinarea cu flanse libere a tuburilor, pieselor de legatura si armaturilor, la conducte avind diametrul de 125-200 mm</t>
    </r>
    <r>
      <rPr>
        <sz val="10"/>
        <color theme="1"/>
        <rFont val="Times New Roman"/>
        <family val="1"/>
        <charset val="204"/>
      </rPr>
      <t xml:space="preserve"> Materiale marunta (benzina, lac, bitum)din valoarea materialelor=1,02</t>
    </r>
  </si>
  <si>
    <r>
      <t>Imbinarea cu flanse libere a tuburilor, pieselor de legatura si armaturilor, la conducte avind diametrul de 250-400 mm</t>
    </r>
    <r>
      <rPr>
        <sz val="10"/>
        <color theme="1"/>
        <rFont val="Times New Roman"/>
        <family val="1"/>
        <charset val="204"/>
      </rPr>
      <t xml:space="preserve"> Materiale marunta (benzina, lac, bitum)din valoarea materialelor=1,02</t>
    </r>
  </si>
  <si>
    <t>Sudor, lăcătuș reparator</t>
  </si>
  <si>
    <t xml:space="preserve">V. Adam             </t>
  </si>
  <si>
    <t xml:space="preserve">S. Surdu             </t>
  </si>
  <si>
    <t>C.M</t>
  </si>
  <si>
    <t>Sector</t>
  </si>
  <si>
    <t>h-om</t>
  </si>
  <si>
    <t>NumeUtilaj</t>
  </si>
  <si>
    <t>M-h</t>
  </si>
  <si>
    <t>CodTransport</t>
  </si>
  <si>
    <t>NumarTransport</t>
  </si>
  <si>
    <t>NumeTransport</t>
  </si>
  <si>
    <t>UM1</t>
  </si>
  <si>
    <t>UM2</t>
  </si>
  <si>
    <t>Pret2</t>
  </si>
  <si>
    <t>SMM 990</t>
  </si>
  <si>
    <t>Autobuz GAZ NEXT A60R42</t>
  </si>
  <si>
    <t>CGW 115</t>
  </si>
  <si>
    <t>Microbuz Fiat Ducato</t>
  </si>
  <si>
    <t>CGP 003</t>
  </si>
  <si>
    <t>Autoturism hatchback Renault Laguna</t>
  </si>
  <si>
    <t>CHJ 003</t>
  </si>
  <si>
    <t>Autoturism hatchback Skoda Fabia</t>
  </si>
  <si>
    <t>TFJ 946</t>
  </si>
  <si>
    <t>Autoturism hatchback Skoda Octavia</t>
  </si>
  <si>
    <t>COL 080</t>
  </si>
  <si>
    <t>Autoturism minivan Volkswagen Sharan</t>
  </si>
  <si>
    <t>CSA 653</t>
  </si>
  <si>
    <t>Autoturism sedan Dacia Logan</t>
  </si>
  <si>
    <t>CKY 820</t>
  </si>
  <si>
    <t>CKY 821</t>
  </si>
  <si>
    <t>CKY 811</t>
  </si>
  <si>
    <t>NVA 144</t>
  </si>
  <si>
    <t>CIM 104</t>
  </si>
  <si>
    <t>Autoturism sedan VAZ 21070</t>
  </si>
  <si>
    <t>CPS 439</t>
  </si>
  <si>
    <t>Autoturism SUV Dacia Duster</t>
  </si>
  <si>
    <t>CPS 462</t>
  </si>
  <si>
    <t>CRN 549</t>
  </si>
  <si>
    <t>CPS 461</t>
  </si>
  <si>
    <t>CRN 548</t>
  </si>
  <si>
    <t>CKZ 835</t>
  </si>
  <si>
    <t>Autoturism SUV VAZ 2123</t>
  </si>
  <si>
    <t>KBD 519</t>
  </si>
  <si>
    <t>Autoturism pickup Mitsubishi L-200</t>
  </si>
  <si>
    <t>YAL 916</t>
  </si>
  <si>
    <t>YAL 922</t>
  </si>
  <si>
    <t>CRT 103</t>
  </si>
  <si>
    <t>Autoturism universal Dacia Lodgy</t>
  </si>
  <si>
    <t>CRT 102</t>
  </si>
  <si>
    <t>CRV 651</t>
  </si>
  <si>
    <t>Autoturism universal Dacia Dokker</t>
  </si>
  <si>
    <t>CRT 052</t>
  </si>
  <si>
    <t>CRT 053</t>
  </si>
  <si>
    <t>CRH 931</t>
  </si>
  <si>
    <t>CRH 932</t>
  </si>
  <si>
    <t>CRT 054</t>
  </si>
  <si>
    <t>AAG 184</t>
  </si>
  <si>
    <t>AAG 186</t>
  </si>
  <si>
    <t>KAW 073</t>
  </si>
  <si>
    <t>Autoturism universal Dacia Logan MCV</t>
  </si>
  <si>
    <t>CPS 479</t>
  </si>
  <si>
    <t>RXC 368</t>
  </si>
  <si>
    <t>KAW 064</t>
  </si>
  <si>
    <t>KAW 068</t>
  </si>
  <si>
    <t>KAW 069</t>
  </si>
  <si>
    <t>KAW 063</t>
  </si>
  <si>
    <t>CPS 476</t>
  </si>
  <si>
    <t>CPS 478</t>
  </si>
  <si>
    <t>CPS 475</t>
  </si>
  <si>
    <t>CPS 473</t>
  </si>
  <si>
    <t>GLG 086</t>
  </si>
  <si>
    <t>GLG 122</t>
  </si>
  <si>
    <t>CNB 517</t>
  </si>
  <si>
    <t>CBE 294</t>
  </si>
  <si>
    <t>Camion cu bena basculanta ZIL 4502</t>
  </si>
  <si>
    <t>CBE 284</t>
  </si>
  <si>
    <t>CBI 566</t>
  </si>
  <si>
    <t>CBE 276</t>
  </si>
  <si>
    <t>Camion cu bena basculanta KaMaZ 5511</t>
  </si>
  <si>
    <t>CBE 682</t>
  </si>
  <si>
    <t>Camion cu bena basculanta KaMaZ 55111</t>
  </si>
  <si>
    <t>CCR 871</t>
  </si>
  <si>
    <t>CHN 349</t>
  </si>
  <si>
    <t>Camion cu bena basculanta KaMaZ 65115</t>
  </si>
  <si>
    <t>CAU 393</t>
  </si>
  <si>
    <t>Camion cu bena basculanta KaMaZ 5410</t>
  </si>
  <si>
    <t>SYR 741</t>
  </si>
  <si>
    <t>Camion cu boxa si cabina dubla IVECO DAILY 70C2</t>
  </si>
  <si>
    <t>SYR 744</t>
  </si>
  <si>
    <t>SYR 747</t>
  </si>
  <si>
    <t>SYR 759</t>
  </si>
  <si>
    <t>SYR 767</t>
  </si>
  <si>
    <t>SYR 780</t>
  </si>
  <si>
    <t>SYR 654</t>
  </si>
  <si>
    <t>SYR 712</t>
  </si>
  <si>
    <t>SYR 724</t>
  </si>
  <si>
    <t>SYR 757</t>
  </si>
  <si>
    <t>SYR 783</t>
  </si>
  <si>
    <t>SYR 768</t>
  </si>
  <si>
    <t>SYR 773</t>
  </si>
  <si>
    <t>SYR 787</t>
  </si>
  <si>
    <t>SYR 790</t>
  </si>
  <si>
    <t>SYR 710</t>
  </si>
  <si>
    <t>SYR 749</t>
  </si>
  <si>
    <t>SYR 763</t>
  </si>
  <si>
    <t>SYR 782</t>
  </si>
  <si>
    <t>SYR 784</t>
  </si>
  <si>
    <t>SYR 808</t>
  </si>
  <si>
    <t>WVD 107</t>
  </si>
  <si>
    <t>Camion cu boxa si cabina dubla GAZ NEXT C42R92</t>
  </si>
  <si>
    <t>HTF 515</t>
  </si>
  <si>
    <t>Camion cu boxa si cabina dubla GAZ NEXT C42R33</t>
  </si>
  <si>
    <t>CDN 511</t>
  </si>
  <si>
    <t>Camion cu boxa si cabina simpla GAZ 3307</t>
  </si>
  <si>
    <t>CGW 573</t>
  </si>
  <si>
    <t>CDG 973</t>
  </si>
  <si>
    <t>Camion cu boxa si cabina simpla GAZ 4301</t>
  </si>
  <si>
    <t>CDG 998</t>
  </si>
  <si>
    <t>CCR 848</t>
  </si>
  <si>
    <t>Camion cu boxa si cabina simpla GAZ 52</t>
  </si>
  <si>
    <t>CBE 282</t>
  </si>
  <si>
    <t>CGP 930</t>
  </si>
  <si>
    <t>Camion cu boxa si cabina simpla GAZ 5312</t>
  </si>
  <si>
    <t>CBE 657</t>
  </si>
  <si>
    <t>Camion cu boxa si cabina simpla GAZ 5327</t>
  </si>
  <si>
    <t>CBE 301</t>
  </si>
  <si>
    <t>CBE 686</t>
  </si>
  <si>
    <t>CBE 687</t>
  </si>
  <si>
    <t>CBE 664</t>
  </si>
  <si>
    <t>CBE 440</t>
  </si>
  <si>
    <t>CAM 825</t>
  </si>
  <si>
    <t>Camion cu boxa si cabina simpla ZIL 431410</t>
  </si>
  <si>
    <t>CCR 199</t>
  </si>
  <si>
    <t>Camion cu boxa si cabina simpla ZIL 130</t>
  </si>
  <si>
    <t>CPC 156</t>
  </si>
  <si>
    <t>Camion cu boxa si cabina simpla ZIL 4329</t>
  </si>
  <si>
    <t>CFH 997</t>
  </si>
  <si>
    <t>Camion cu boxa si cabina simpla ZIL 5301 GA</t>
  </si>
  <si>
    <t>CBO 585</t>
  </si>
  <si>
    <t>Camion cu boxa si cabina simpla KaMaz 4310</t>
  </si>
  <si>
    <t>CBI 096</t>
  </si>
  <si>
    <t>Camion cu platforma cu obloane, basculanta GAZ-</t>
  </si>
  <si>
    <t>CBE 269</t>
  </si>
  <si>
    <t>CBE 267</t>
  </si>
  <si>
    <t>CBE 299</t>
  </si>
  <si>
    <t>Camion cu platforma cu obloane, statica GAZ 5312</t>
  </si>
  <si>
    <t>CBE 443</t>
  </si>
  <si>
    <t>Camion cu platforma cu obloane, statica GAZ 66</t>
  </si>
  <si>
    <t>CBE 648</t>
  </si>
  <si>
    <t>Camion cu platforma cu obloane, statica GAZ 5321</t>
  </si>
  <si>
    <t>CIA 483</t>
  </si>
  <si>
    <t>Camion cu platforma cu obloane, statica UAZ 3303</t>
  </si>
  <si>
    <t>SYR 769</t>
  </si>
  <si>
    <t>Camion cu platforma cu obloane, statica, cu brat ir</t>
  </si>
  <si>
    <t>CBO 440</t>
  </si>
  <si>
    <t>Camion specializat KaMaz 4310</t>
  </si>
  <si>
    <t>CBE 642</t>
  </si>
  <si>
    <t>Camion specializat KaMaz 53213</t>
  </si>
  <si>
    <t>CBE 279</t>
  </si>
  <si>
    <t>CBE 280</t>
  </si>
  <si>
    <t>CBE 432</t>
  </si>
  <si>
    <t>CGO 175</t>
  </si>
  <si>
    <t>CNW 069</t>
  </si>
  <si>
    <t>Camion specializat KaMaz 53215</t>
  </si>
  <si>
    <t>CLV 168</t>
  </si>
  <si>
    <t>AMC 715</t>
  </si>
  <si>
    <t>Camion specializat MAZ KO 524 MAZ</t>
  </si>
  <si>
    <t>CBE 434</t>
  </si>
  <si>
    <t>Camion specializat ZIL 130</t>
  </si>
  <si>
    <t>CCL 640</t>
  </si>
  <si>
    <t>Camion specializat ZIL 421410</t>
  </si>
  <si>
    <t>CAY 149</t>
  </si>
  <si>
    <t>Camion specializat ZIL 432902</t>
  </si>
  <si>
    <t>CBE 649</t>
  </si>
  <si>
    <t>Camion specializat ZIL 43141</t>
  </si>
  <si>
    <t>CBI 088</t>
  </si>
  <si>
    <t>CBE 644</t>
  </si>
  <si>
    <t>CLM 278</t>
  </si>
  <si>
    <t>Camion specializat GAZ 2705</t>
  </si>
  <si>
    <t>CFD 953</t>
  </si>
  <si>
    <t>CBE 641</t>
  </si>
  <si>
    <t>Camion specializat GAZ 5312</t>
  </si>
  <si>
    <t>CGU 169</t>
  </si>
  <si>
    <t>CBE 439</t>
  </si>
  <si>
    <t>Camion specializat GAZ 53 KO 503</t>
  </si>
  <si>
    <t>CAT 371</t>
  </si>
  <si>
    <t>CBE 662</t>
  </si>
  <si>
    <t>CBE 661</t>
  </si>
  <si>
    <t>CBE 303</t>
  </si>
  <si>
    <t>CCL 649</t>
  </si>
  <si>
    <t>CBE 669</t>
  </si>
  <si>
    <t>CGC 023</t>
  </si>
  <si>
    <t>Camion specializat GAZ 5327</t>
  </si>
  <si>
    <t>CFK 906</t>
  </si>
  <si>
    <t>Camion specializat MAZ 357152</t>
  </si>
  <si>
    <t>CBE 638</t>
  </si>
  <si>
    <t>Camion specializat MAZ 5337</t>
  </si>
  <si>
    <t>DLP 912</t>
  </si>
  <si>
    <t>BZP 527</t>
  </si>
  <si>
    <t>Camion specializat MAN 26440 6x2 2BL</t>
  </si>
  <si>
    <t>CBY 622</t>
  </si>
  <si>
    <t>CGP 996</t>
  </si>
  <si>
    <t>Furgoneta cu caroserie integrala UAZ 3909</t>
  </si>
  <si>
    <t>CDZ 917</t>
  </si>
  <si>
    <t>CIF 309</t>
  </si>
  <si>
    <t>CFE 954</t>
  </si>
  <si>
    <t>Furgoneta cu caroserie integrala GAZ 27057</t>
  </si>
  <si>
    <t>CFH 293</t>
  </si>
  <si>
    <t>Furgoneta cu caroserie integrala GAZ 270544</t>
  </si>
  <si>
    <t>SYR 795</t>
  </si>
  <si>
    <t>SYR 801</t>
  </si>
  <si>
    <t>Furgoneta cu caroserie integrala IVECO DAILY 35S</t>
  </si>
  <si>
    <t>MOF 601</t>
  </si>
  <si>
    <t>CGF 890</t>
  </si>
  <si>
    <t>CA 855</t>
  </si>
  <si>
    <t>Furgoneta cu caroserie integrala Mercedes 410</t>
  </si>
  <si>
    <t>CC 325</t>
  </si>
  <si>
    <t>Autogreider BA DZ-180</t>
  </si>
  <si>
    <t>TAW 114</t>
  </si>
  <si>
    <t>Buldozer VGTZ DT-75 DZ-42</t>
  </si>
  <si>
    <t>TAE 464</t>
  </si>
  <si>
    <t>TAE 465</t>
  </si>
  <si>
    <t>Miniexcavator JCB 8030ZTS</t>
  </si>
  <si>
    <t>TAE 466</t>
  </si>
  <si>
    <t>TAE 467</t>
  </si>
  <si>
    <t>TAE 468</t>
  </si>
  <si>
    <t>TAE 469</t>
  </si>
  <si>
    <t>TAE 471</t>
  </si>
  <si>
    <t>TAE 473</t>
  </si>
  <si>
    <t>Tractor pe pneuri buldoexcavator JCB 3CX</t>
  </si>
  <si>
    <t>TAE 474</t>
  </si>
  <si>
    <t>TAE 472</t>
  </si>
  <si>
    <t>TAE 470</t>
  </si>
  <si>
    <t>TAE 587</t>
  </si>
  <si>
    <t>TAE 586</t>
  </si>
  <si>
    <t>CA 437</t>
  </si>
  <si>
    <t>Tractor pe pneuri buldoexcavator IUMZ AO-2621</t>
  </si>
  <si>
    <t>Nr. Nomec folosit</t>
  </si>
  <si>
    <t>CantitateaDisponibila</t>
  </si>
  <si>
    <t>Diferenta</t>
  </si>
  <si>
    <t>Manopera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</si>
</sst>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quot;S.A. „Apă-Canal Chișinău”, &quot;@"/>
    <numFmt numFmtId="165" formatCode="#,##0.00&quot; lei&quot;;[Red]\(#,##0.00\)&quot; lei&quot;;\-"/>
    <numFmt numFmtId="166" formatCode="0.000"/>
    <numFmt numFmtId="167" formatCode="mm/yy"/>
  </numFmts>
  <fonts count="34" x14ac:knownFonts="1">
    <font>
      <sz val="11"/>
      <color theme="1"/>
      <name val="Calibri"/>
      <family val="2"/>
      <scheme val="minor"/>
    </font>
    <font>
      <b/>
      <sz val="10"/>
      <color theme="1"/>
      <name val="Calibri"/>
      <family val="2"/>
      <charset val="204"/>
      <scheme val="minor"/>
    </font>
    <font>
      <sz val="10"/>
      <color theme="1"/>
      <name val="Calibri"/>
      <family val="2"/>
      <scheme val="minor"/>
    </font>
    <font>
      <sz val="10"/>
      <color theme="1"/>
      <name val="Times New Roman"/>
      <family val="1"/>
      <charset val="204"/>
    </font>
    <font>
      <sz val="10"/>
      <color theme="1"/>
      <name val="Calibri"/>
      <family val="2"/>
      <charset val="204"/>
      <scheme val="minor"/>
    </font>
    <font>
      <sz val="10"/>
      <name val="Calibri"/>
      <family val="2"/>
      <charset val="204"/>
      <scheme val="minor"/>
    </font>
    <font>
      <sz val="8"/>
      <color rgb="FF000000"/>
      <name val="Calibri"/>
      <family val="2"/>
      <charset val="204"/>
      <scheme val="minor"/>
    </font>
    <font>
      <i/>
      <sz val="8"/>
      <color rgb="FF000000"/>
      <name val="Calibri"/>
      <family val="2"/>
      <charset val="204"/>
      <scheme val="minor"/>
    </font>
    <font>
      <sz val="7"/>
      <color theme="1"/>
      <name val="Calibri"/>
      <family val="2"/>
      <charset val="204"/>
      <scheme val="minor"/>
    </font>
    <font>
      <i/>
      <sz val="10"/>
      <color theme="1"/>
      <name val="Calibri"/>
      <family val="2"/>
      <charset val="204"/>
      <scheme val="minor"/>
    </font>
    <font>
      <sz val="8"/>
      <color theme="1"/>
      <name val="Calibri"/>
      <family val="2"/>
      <charset val="204"/>
      <scheme val="minor"/>
    </font>
    <font>
      <b/>
      <u/>
      <sz val="10"/>
      <color theme="1"/>
      <name val="Calibri"/>
      <family val="2"/>
      <charset val="204"/>
      <scheme val="minor"/>
    </font>
    <font>
      <b/>
      <sz val="8"/>
      <color theme="1"/>
      <name val="Calibri"/>
      <family val="2"/>
      <charset val="204"/>
      <scheme val="minor"/>
    </font>
    <font>
      <b/>
      <sz val="10"/>
      <name val="Calibri"/>
      <family val="2"/>
      <charset val="204"/>
      <scheme val="minor"/>
    </font>
    <font>
      <b/>
      <sz val="10"/>
      <color rgb="FFFF0000"/>
      <name val="Calibri"/>
      <family val="2"/>
      <charset val="204"/>
      <scheme val="minor"/>
    </font>
    <font>
      <sz val="6"/>
      <name val="Calibri"/>
      <family val="2"/>
      <charset val="204"/>
      <scheme val="minor"/>
    </font>
    <font>
      <b/>
      <sz val="9"/>
      <name val="Calibri"/>
      <family val="2"/>
      <charset val="204"/>
      <scheme val="minor"/>
    </font>
    <font>
      <sz val="11"/>
      <color rgb="FFFF0000"/>
      <name val="Calibri"/>
      <family val="2"/>
      <scheme val="minor"/>
    </font>
    <font>
      <b/>
      <sz val="12"/>
      <name val="Times New Roman"/>
      <family val="1"/>
      <charset val="204"/>
    </font>
    <font>
      <sz val="12"/>
      <name val="Times New Roman"/>
      <family val="1"/>
      <charset val="204"/>
    </font>
    <font>
      <sz val="14"/>
      <name val="Times New Roman"/>
      <family val="1"/>
      <charset val="204"/>
    </font>
    <font>
      <b/>
      <sz val="14"/>
      <name val="Times New Roman"/>
      <family val="1"/>
      <charset val="204"/>
    </font>
    <font>
      <sz val="12"/>
      <color theme="1"/>
      <name val="Times New Roman"/>
      <family val="1"/>
      <charset val="204"/>
    </font>
    <font>
      <sz val="14"/>
      <color theme="1"/>
      <name val="Times New Roman"/>
      <family val="1"/>
      <charset val="204"/>
    </font>
    <font>
      <sz val="10"/>
      <name val="Times New Roman"/>
      <family val="1"/>
      <charset val="204"/>
    </font>
    <font>
      <sz val="12"/>
      <name val="Arial"/>
      <family val="2"/>
      <charset val="204"/>
    </font>
    <font>
      <sz val="10"/>
      <color theme="1"/>
      <name val="Arial"/>
      <family val="2"/>
      <charset val="204"/>
    </font>
    <font>
      <sz val="10"/>
      <name val="Arial"/>
      <family val="2"/>
      <charset val="204"/>
    </font>
    <font>
      <sz val="11"/>
      <name val="Times New Roman"/>
      <family val="1"/>
      <charset val="204"/>
    </font>
    <font>
      <b/>
      <sz val="11"/>
      <color theme="1"/>
      <name val="Calibri"/>
      <family val="2"/>
      <scheme val="minor"/>
    </font>
    <font>
      <sz val="8"/>
      <color theme="1"/>
      <name val="Times New Roman"/>
      <family val="1"/>
      <charset val="204"/>
    </font>
    <font>
      <sz val="9"/>
      <color theme="1"/>
      <name val="Times New Roman"/>
      <family val="1"/>
      <charset val="204"/>
    </font>
    <font>
      <sz val="14"/>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FFFFCC"/>
        <bgColor indexed="64"/>
      </patternFill>
    </fill>
    <fill>
      <patternFill patternType="solid">
        <fgColor rgb="FFFFFF99"/>
        <bgColor indexed="64"/>
      </patternFill>
    </fill>
    <fill>
      <patternFill patternType="solid">
        <fgColor rgb="FFD9D9D9"/>
        <bgColor indexed="64"/>
      </patternFill>
    </fill>
    <fill>
      <patternFill patternType="solid">
        <fgColor theme="0"/>
        <bgColor indexed="64"/>
      </patternFill>
    </fill>
    <fill>
      <patternFill patternType="solid">
        <fgColor theme="7" tint="0.79998168889431442"/>
        <bgColor indexed="64"/>
      </patternFill>
    </fill>
    <fill>
      <patternFill patternType="solid">
        <fgColor theme="7"/>
        <bgColor indexed="64"/>
      </patternFill>
    </fill>
    <fill>
      <patternFill patternType="solid">
        <fgColor theme="4"/>
        <bgColor indexed="64"/>
      </patternFill>
    </fill>
  </fills>
  <borders count="38">
    <border>
      <left/>
      <right/>
      <top/>
      <bottom/>
      <diagonal/>
    </border>
    <border>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indexed="8"/>
      </left>
      <right/>
      <top/>
      <bottom/>
      <diagonal/>
    </border>
    <border>
      <left/>
      <right/>
      <top/>
      <bottom style="thin">
        <color indexed="8"/>
      </bottom>
      <diagonal/>
    </border>
    <border>
      <left style="medium">
        <color indexed="8"/>
      </left>
      <right/>
      <top/>
      <bottom style="thin">
        <color indexed="8"/>
      </bottom>
      <diagonal/>
    </border>
    <border>
      <left style="thin">
        <color indexed="8"/>
      </left>
      <right/>
      <top/>
      <bottom style="thin">
        <color indexed="8"/>
      </bottom>
      <diagonal/>
    </border>
    <border>
      <left/>
      <right/>
      <top/>
      <bottom style="thin">
        <color indexed="23"/>
      </bottom>
      <diagonal/>
    </border>
    <border>
      <left/>
      <right style="thin">
        <color indexed="8"/>
      </right>
      <top/>
      <bottom style="thin">
        <color indexed="23"/>
      </bottom>
      <diagonal/>
    </border>
    <border>
      <left style="medium">
        <color indexed="8"/>
      </left>
      <right/>
      <top style="thin">
        <color indexed="8"/>
      </top>
      <bottom/>
      <diagonal/>
    </border>
    <border>
      <left/>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23"/>
      </top>
      <bottom/>
      <diagonal/>
    </border>
    <border>
      <left/>
      <right/>
      <top style="thin">
        <color indexed="23"/>
      </top>
      <bottom/>
      <diagonal/>
    </border>
    <border>
      <left style="thin">
        <color indexed="8"/>
      </left>
      <right/>
      <top/>
      <bottom style="thin">
        <color indexed="23"/>
      </bottom>
      <diagonal/>
    </border>
    <border>
      <left style="medium">
        <color indexed="8"/>
      </left>
      <right style="thin">
        <color indexed="8"/>
      </right>
      <top/>
      <bottom/>
      <diagonal/>
    </border>
    <border>
      <left style="thin">
        <color indexed="8"/>
      </left>
      <right style="thin">
        <color indexed="8"/>
      </right>
      <top/>
      <bottom/>
      <diagonal/>
    </border>
    <border>
      <left style="thin">
        <color indexed="8"/>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style="medium">
        <color indexed="8"/>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style="thin">
        <color indexed="8"/>
      </top>
      <bottom style="thin">
        <color indexed="64"/>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thin">
        <color indexed="64"/>
      </bottom>
      <diagonal/>
    </border>
    <border>
      <left style="thin">
        <color indexed="8"/>
      </left>
      <right/>
      <top style="thin">
        <color indexed="8"/>
      </top>
      <bottom style="thin">
        <color indexed="64"/>
      </bottom>
      <diagonal/>
    </border>
    <border>
      <left/>
      <right style="thin">
        <color indexed="8"/>
      </right>
      <top style="thin">
        <color indexed="8"/>
      </top>
      <bottom style="thin">
        <color indexed="64"/>
      </bottom>
      <diagonal/>
    </border>
    <border>
      <left style="medium">
        <color indexed="8"/>
      </left>
      <right style="thin">
        <color indexed="8"/>
      </right>
      <top style="thin">
        <color indexed="8"/>
      </top>
      <bottom style="thin">
        <color indexed="64"/>
      </bottom>
      <diagonal/>
    </border>
    <border>
      <left style="medium">
        <color auto="1"/>
      </left>
      <right/>
      <top/>
      <bottom/>
      <diagonal/>
    </border>
  </borders>
  <cellStyleXfs count="1">
    <xf numFmtId="0" fontId="0" fillId="0" borderId="0"/>
  </cellStyleXfs>
  <cellXfs count="294">
    <xf numFmtId="0" fontId="0" fillId="0" borderId="0" xfId="0"/>
    <xf numFmtId="0" fontId="1" fillId="0" borderId="0" xfId="0" applyFont="1" applyAlignment="1">
      <alignment horizontal="left" vertical="top"/>
    </xf>
    <xf numFmtId="0" fontId="0" fillId="0" borderId="0" xfId="0" applyAlignment="1">
      <alignment horizontal="left" vertical="top"/>
    </xf>
    <xf numFmtId="0" fontId="2" fillId="0" borderId="0" xfId="0" applyFont="1" applyAlignment="1">
      <alignment horizontal="left" vertical="top"/>
    </xf>
    <xf numFmtId="49" fontId="2" fillId="0" borderId="0" xfId="0" applyNumberFormat="1" applyFont="1" applyAlignment="1">
      <alignment horizontal="left" vertical="top"/>
    </xf>
    <xf numFmtId="0" fontId="1" fillId="0" borderId="0" xfId="0" applyFont="1" applyAlignment="1">
      <alignment horizontal="left"/>
    </xf>
    <xf numFmtId="0" fontId="2" fillId="0" borderId="0" xfId="0" applyFont="1" applyAlignment="1">
      <alignment horizontal="left"/>
    </xf>
    <xf numFmtId="2" fontId="2" fillId="0" borderId="0" xfId="0" applyNumberFormat="1" applyFont="1" applyAlignment="1">
      <alignment horizontal="left" vertical="top"/>
    </xf>
    <xf numFmtId="49" fontId="4" fillId="0" borderId="0" xfId="0" applyNumberFormat="1" applyFont="1" applyAlignment="1">
      <alignment horizontal="left" vertical="top" wrapText="1"/>
    </xf>
    <xf numFmtId="1" fontId="4" fillId="0" borderId="0" xfId="0" applyNumberFormat="1" applyFont="1" applyAlignment="1">
      <alignment horizontal="left" vertical="top" wrapText="1"/>
    </xf>
    <xf numFmtId="0" fontId="4" fillId="0" borderId="0" xfId="0" applyFont="1" applyAlignment="1">
      <alignment horizontal="left" vertical="top" wrapText="1"/>
    </xf>
    <xf numFmtId="0" fontId="4" fillId="0" borderId="0" xfId="0" applyFont="1" applyAlignment="1">
      <alignment horizontal="center" vertical="center" wrapText="1"/>
    </xf>
    <xf numFmtId="4" fontId="5" fillId="0" borderId="0" xfId="0" applyNumberFormat="1" applyFont="1" applyAlignment="1">
      <alignment horizontal="right" vertical="center" wrapText="1"/>
    </xf>
    <xf numFmtId="4" fontId="4" fillId="0" borderId="0" xfId="0" applyNumberFormat="1" applyFont="1" applyAlignment="1">
      <alignment horizontal="right" vertical="center" wrapText="1"/>
    </xf>
    <xf numFmtId="0" fontId="6" fillId="0" borderId="0" xfId="0" applyFont="1"/>
    <xf numFmtId="49" fontId="1" fillId="0" borderId="0" xfId="0" applyNumberFormat="1" applyFont="1" applyAlignment="1">
      <alignment vertical="top" wrapText="1"/>
    </xf>
    <xf numFmtId="1" fontId="1" fillId="0" borderId="0" xfId="0" applyNumberFormat="1" applyFont="1" applyAlignment="1">
      <alignment vertical="top" wrapText="1"/>
    </xf>
    <xf numFmtId="0" fontId="1" fillId="0" borderId="0" xfId="0" applyFont="1" applyAlignment="1">
      <alignment horizontal="center" vertical="center" wrapText="1"/>
    </xf>
    <xf numFmtId="0" fontId="1" fillId="0" borderId="0" xfId="0" applyFont="1" applyAlignment="1">
      <alignment vertical="center" wrapText="1"/>
    </xf>
    <xf numFmtId="4" fontId="1" fillId="0" borderId="0" xfId="0" applyNumberFormat="1" applyFont="1" applyAlignment="1">
      <alignment horizontal="right" vertical="center" wrapText="1"/>
    </xf>
    <xf numFmtId="0" fontId="7" fillId="0" borderId="0" xfId="0" applyFont="1"/>
    <xf numFmtId="49" fontId="4" fillId="0" borderId="0" xfId="0" applyNumberFormat="1" applyFont="1" applyAlignment="1">
      <alignment vertical="top" wrapText="1"/>
    </xf>
    <xf numFmtId="1" fontId="4" fillId="0" borderId="0" xfId="0" applyNumberFormat="1" applyFont="1" applyAlignment="1">
      <alignment vertical="top" wrapText="1"/>
    </xf>
    <xf numFmtId="1" fontId="4" fillId="0" borderId="0" xfId="0" applyNumberFormat="1" applyFont="1" applyAlignment="1">
      <alignment horizontal="left" vertical="top" wrapText="1" indent="1"/>
    </xf>
    <xf numFmtId="0" fontId="4" fillId="0" borderId="0" xfId="0" applyFont="1" applyAlignment="1">
      <alignment vertical="center" wrapText="1"/>
    </xf>
    <xf numFmtId="0" fontId="4" fillId="0" borderId="0" xfId="0" applyFont="1" applyAlignment="1">
      <alignment horizontal="left" vertical="top"/>
    </xf>
    <xf numFmtId="10" fontId="4" fillId="0" borderId="0" xfId="0" applyNumberFormat="1" applyFont="1" applyAlignment="1">
      <alignment horizontal="center" vertical="center" wrapText="1"/>
    </xf>
    <xf numFmtId="9" fontId="4" fillId="0" borderId="0" xfId="0" applyNumberFormat="1" applyFont="1" applyAlignment="1">
      <alignment horizontal="center" vertical="center" wrapText="1"/>
    </xf>
    <xf numFmtId="0" fontId="6" fillId="0" borderId="0" xfId="0" applyFont="1" applyAlignment="1">
      <alignment horizontal="left" vertical="center" indent="15"/>
    </xf>
    <xf numFmtId="0" fontId="1" fillId="0" borderId="0" xfId="0" applyFont="1" applyAlignment="1">
      <alignment horizontal="left" vertical="top" wrapText="1"/>
    </xf>
    <xf numFmtId="49" fontId="4" fillId="0" borderId="0" xfId="0" applyNumberFormat="1" applyFont="1" applyAlignment="1">
      <alignment horizontal="left" vertical="top"/>
    </xf>
    <xf numFmtId="0" fontId="4" fillId="0" borderId="0" xfId="0" applyFont="1" applyAlignment="1">
      <alignment horizontal="left" vertical="top" indent="1"/>
    </xf>
    <xf numFmtId="0" fontId="4" fillId="0" borderId="0" xfId="0" applyFont="1"/>
    <xf numFmtId="4" fontId="4" fillId="0" borderId="0" xfId="0" applyNumberFormat="1" applyFont="1"/>
    <xf numFmtId="49" fontId="1" fillId="0" borderId="0" xfId="0" applyNumberFormat="1" applyFont="1" applyAlignment="1">
      <alignment horizontal="left" vertical="top"/>
    </xf>
    <xf numFmtId="0" fontId="1" fillId="0" borderId="0" xfId="0" applyFont="1"/>
    <xf numFmtId="4" fontId="1" fillId="0" borderId="0" xfId="0" applyNumberFormat="1" applyFont="1"/>
    <xf numFmtId="49" fontId="4" fillId="0" borderId="0" xfId="0" applyNumberFormat="1" applyFont="1"/>
    <xf numFmtId="0" fontId="8" fillId="0" borderId="0" xfId="0" applyFont="1" applyAlignment="1">
      <alignment vertical="top"/>
    </xf>
    <xf numFmtId="0" fontId="8" fillId="0" borderId="0" xfId="0" applyFont="1" applyAlignment="1">
      <alignment horizontal="left" vertical="top"/>
    </xf>
    <xf numFmtId="49" fontId="4" fillId="0" borderId="0" xfId="0" applyNumberFormat="1" applyFont="1" applyAlignment="1">
      <alignment horizontal="left"/>
    </xf>
    <xf numFmtId="49" fontId="10" fillId="0" borderId="0" xfId="0" applyNumberFormat="1" applyFont="1"/>
    <xf numFmtId="49" fontId="10" fillId="0" borderId="0" xfId="0" applyNumberFormat="1" applyFont="1" applyAlignment="1">
      <alignment horizontal="centerContinuous"/>
    </xf>
    <xf numFmtId="0" fontId="4" fillId="0" borderId="0" xfId="0" applyFont="1" applyAlignment="1">
      <alignment horizontal="centerContinuous"/>
    </xf>
    <xf numFmtId="0" fontId="10" fillId="0" borderId="0" xfId="0" applyFont="1" applyAlignment="1">
      <alignment horizontal="centerContinuous"/>
    </xf>
    <xf numFmtId="0" fontId="10" fillId="0" borderId="0" xfId="0" applyFont="1" applyAlignment="1">
      <alignment horizontal="left"/>
    </xf>
    <xf numFmtId="0" fontId="4" fillId="0" borderId="0" xfId="0" applyFont="1" applyAlignment="1">
      <alignment horizontal="center" vertical="top"/>
    </xf>
    <xf numFmtId="0" fontId="12" fillId="0" borderId="0" xfId="0" applyFont="1" applyAlignment="1">
      <alignment horizontal="centerContinuous" wrapText="1"/>
    </xf>
    <xf numFmtId="49" fontId="12" fillId="0" borderId="0" xfId="0" applyNumberFormat="1" applyFont="1" applyAlignment="1">
      <alignment horizontal="centerContinuous"/>
    </xf>
    <xf numFmtId="0" fontId="12" fillId="0" borderId="0" xfId="0" applyFont="1" applyAlignment="1">
      <alignment horizontal="centerContinuous"/>
    </xf>
    <xf numFmtId="0" fontId="1" fillId="0" borderId="0" xfId="0" applyFont="1" applyAlignment="1">
      <alignment horizontal="centerContinuous"/>
    </xf>
    <xf numFmtId="0" fontId="10" fillId="0" borderId="0" xfId="0" applyFont="1" applyAlignment="1">
      <alignment horizontal="center"/>
    </xf>
    <xf numFmtId="0" fontId="4" fillId="0" borderId="0" xfId="0" applyFont="1" applyAlignment="1">
      <alignment horizontal="left"/>
    </xf>
    <xf numFmtId="0" fontId="4" fillId="0" borderId="3" xfId="0" applyFont="1" applyBorder="1" applyAlignment="1">
      <alignment horizontal="center" vertical="center" wrapText="1"/>
    </xf>
    <xf numFmtId="0" fontId="10" fillId="0" borderId="3" xfId="0" applyFont="1" applyBorder="1" applyAlignment="1">
      <alignment horizontal="center" vertical="center" wrapText="1"/>
    </xf>
    <xf numFmtId="0" fontId="0" fillId="3" borderId="0" xfId="0" applyFill="1" applyAlignment="1">
      <alignment horizontal="center"/>
    </xf>
    <xf numFmtId="0" fontId="1" fillId="4" borderId="3" xfId="0" applyFont="1" applyFill="1" applyBorder="1" applyAlignment="1">
      <alignment horizontal="center" vertical="center" wrapText="1"/>
    </xf>
    <xf numFmtId="1" fontId="1" fillId="4" borderId="3" xfId="0" applyNumberFormat="1" applyFont="1" applyFill="1" applyBorder="1" applyAlignment="1">
      <alignment horizontal="center" vertical="center" wrapText="1"/>
    </xf>
    <xf numFmtId="0" fontId="1" fillId="4" borderId="3" xfId="0" applyFont="1" applyFill="1" applyBorder="1" applyAlignment="1">
      <alignment horizontal="left" vertical="center" wrapText="1"/>
    </xf>
    <xf numFmtId="2" fontId="1" fillId="4" borderId="3" xfId="0" applyNumberFormat="1" applyFont="1" applyFill="1" applyBorder="1" applyAlignment="1">
      <alignment horizontal="center" vertical="center" wrapText="1"/>
    </xf>
    <xf numFmtId="2" fontId="1" fillId="4" borderId="3" xfId="0" applyNumberFormat="1" applyFont="1" applyFill="1" applyBorder="1" applyAlignment="1">
      <alignment horizontal="right" vertical="center" wrapText="1"/>
    </xf>
    <xf numFmtId="49" fontId="5" fillId="0" borderId="3" xfId="0" applyNumberFormat="1" applyFont="1" applyBorder="1" applyAlignment="1">
      <alignment horizontal="left" vertical="top" wrapText="1"/>
    </xf>
    <xf numFmtId="0" fontId="5" fillId="0" borderId="3" xfId="0" applyFont="1" applyBorder="1" applyAlignment="1">
      <alignment horizontal="left" vertical="top" wrapText="1"/>
    </xf>
    <xf numFmtId="0" fontId="13" fillId="0" borderId="3" xfId="0" applyFont="1" applyBorder="1" applyAlignment="1">
      <alignment horizontal="left" vertical="top" wrapText="1"/>
    </xf>
    <xf numFmtId="0" fontId="15" fillId="0" borderId="3" xfId="0" applyFont="1" applyBorder="1" applyAlignment="1">
      <alignment horizontal="center" vertical="center" wrapText="1"/>
    </xf>
    <xf numFmtId="2" fontId="5" fillId="0" borderId="3" xfId="0" applyNumberFormat="1" applyFont="1" applyBorder="1" applyAlignment="1">
      <alignment horizontal="center" vertical="center" wrapText="1"/>
    </xf>
    <xf numFmtId="2" fontId="5" fillId="0" borderId="3" xfId="0" applyNumberFormat="1" applyFont="1" applyBorder="1" applyAlignment="1">
      <alignment horizontal="right" vertical="center" wrapText="1"/>
    </xf>
    <xf numFmtId="0" fontId="5" fillId="0" borderId="3" xfId="0" applyFont="1" applyBorder="1" applyAlignment="1">
      <alignment horizontal="center" vertical="center" wrapText="1"/>
    </xf>
    <xf numFmtId="1" fontId="5" fillId="0" borderId="3" xfId="0" applyNumberFormat="1" applyFont="1" applyBorder="1" applyAlignment="1">
      <alignment horizontal="left" vertical="top" wrapText="1"/>
    </xf>
    <xf numFmtId="2" fontId="13" fillId="0" borderId="3" xfId="0" applyNumberFormat="1" applyFont="1" applyBorder="1" applyAlignment="1">
      <alignment horizontal="right" vertical="center" wrapText="1"/>
    </xf>
    <xf numFmtId="49" fontId="4" fillId="0" borderId="3" xfId="0" applyNumberFormat="1" applyFont="1" applyBorder="1" applyAlignment="1">
      <alignment horizontal="left" vertical="top" wrapText="1"/>
    </xf>
    <xf numFmtId="1" fontId="4" fillId="0" borderId="3" xfId="0" applyNumberFormat="1" applyFont="1" applyBorder="1" applyAlignment="1">
      <alignment horizontal="left" vertical="top" wrapText="1"/>
    </xf>
    <xf numFmtId="0" fontId="1" fillId="0" borderId="3" xfId="0" applyFont="1" applyBorder="1" applyAlignment="1">
      <alignment horizontal="left" vertical="top" wrapText="1"/>
    </xf>
    <xf numFmtId="2" fontId="4" fillId="0" borderId="3" xfId="0" applyNumberFormat="1" applyFont="1" applyBorder="1" applyAlignment="1">
      <alignment horizontal="center" vertical="center" wrapText="1"/>
    </xf>
    <xf numFmtId="2" fontId="4" fillId="0" borderId="3" xfId="0" applyNumberFormat="1" applyFont="1" applyBorder="1" applyAlignment="1">
      <alignment horizontal="right" vertical="center" wrapText="1"/>
    </xf>
    <xf numFmtId="1" fontId="5" fillId="5" borderId="3" xfId="0" applyNumberFormat="1" applyFont="1" applyFill="1" applyBorder="1" applyAlignment="1">
      <alignment horizontal="left" vertical="top" wrapText="1"/>
    </xf>
    <xf numFmtId="0" fontId="5" fillId="5" borderId="3" xfId="0" applyFont="1" applyFill="1" applyBorder="1" applyAlignment="1">
      <alignment horizontal="left" vertical="top" wrapText="1"/>
    </xf>
    <xf numFmtId="0" fontId="5" fillId="5" borderId="3" xfId="0" applyFont="1" applyFill="1" applyBorder="1" applyAlignment="1">
      <alignment horizontal="center" vertical="center" wrapText="1"/>
    </xf>
    <xf numFmtId="2" fontId="5" fillId="5" borderId="3" xfId="0" applyNumberFormat="1" applyFont="1" applyFill="1" applyBorder="1" applyAlignment="1">
      <alignment horizontal="center" vertical="center" wrapText="1"/>
    </xf>
    <xf numFmtId="2" fontId="5" fillId="5" borderId="3" xfId="0" applyNumberFormat="1" applyFont="1" applyFill="1" applyBorder="1" applyAlignment="1">
      <alignment horizontal="right" vertical="center" wrapText="1"/>
    </xf>
    <xf numFmtId="2" fontId="1" fillId="0" borderId="3" xfId="0" applyNumberFormat="1" applyFont="1" applyBorder="1" applyAlignment="1">
      <alignment horizontal="right" vertical="center" wrapText="1"/>
    </xf>
    <xf numFmtId="1" fontId="16" fillId="4" borderId="3" xfId="0" applyNumberFormat="1" applyFont="1" applyFill="1" applyBorder="1" applyAlignment="1">
      <alignment horizontal="center" vertical="center" wrapText="1"/>
    </xf>
    <xf numFmtId="0" fontId="13" fillId="4" borderId="3" xfId="0" applyFont="1" applyFill="1" applyBorder="1" applyAlignment="1">
      <alignment horizontal="left" vertical="center" wrapText="1"/>
    </xf>
    <xf numFmtId="0" fontId="13" fillId="4" borderId="3" xfId="0" applyFont="1" applyFill="1" applyBorder="1" applyAlignment="1">
      <alignment horizontal="center" vertical="center" wrapText="1"/>
    </xf>
    <xf numFmtId="2" fontId="13" fillId="4" borderId="3" xfId="0" applyNumberFormat="1" applyFont="1" applyFill="1" applyBorder="1" applyAlignment="1">
      <alignment horizontal="center" vertical="center" wrapText="1"/>
    </xf>
    <xf numFmtId="1" fontId="4" fillId="4" borderId="3" xfId="0" applyNumberFormat="1" applyFont="1" applyFill="1" applyBorder="1" applyAlignment="1">
      <alignment horizontal="left" vertical="center" wrapText="1"/>
    </xf>
    <xf numFmtId="0" fontId="4" fillId="4" borderId="3" xfId="0" applyFont="1" applyFill="1" applyBorder="1" applyAlignment="1">
      <alignment horizontal="center" vertical="center" wrapText="1"/>
    </xf>
    <xf numFmtId="2" fontId="4" fillId="4" borderId="3" xfId="0" applyNumberFormat="1" applyFont="1" applyFill="1" applyBorder="1" applyAlignment="1">
      <alignment horizontal="center" vertical="center" wrapText="1"/>
    </xf>
    <xf numFmtId="2" fontId="4" fillId="4" borderId="3" xfId="0" applyNumberFormat="1" applyFont="1" applyFill="1" applyBorder="1" applyAlignment="1">
      <alignment horizontal="right" vertical="center" wrapText="1"/>
    </xf>
    <xf numFmtId="0" fontId="4" fillId="0" borderId="3" xfId="0" applyFont="1" applyBorder="1" applyAlignment="1">
      <alignment horizontal="left" vertical="top" wrapText="1"/>
    </xf>
    <xf numFmtId="49" fontId="1" fillId="0" borderId="3" xfId="0" applyNumberFormat="1" applyFont="1" applyBorder="1" applyAlignment="1">
      <alignment vertical="top" wrapText="1"/>
    </xf>
    <xf numFmtId="1" fontId="1" fillId="0" borderId="3" xfId="0" applyNumberFormat="1" applyFont="1" applyBorder="1" applyAlignment="1">
      <alignment vertical="top" wrapText="1"/>
    </xf>
    <xf numFmtId="0" fontId="1" fillId="0" borderId="3" xfId="0" applyFont="1" applyBorder="1" applyAlignment="1">
      <alignment horizontal="center" vertical="center" wrapText="1"/>
    </xf>
    <xf numFmtId="2" fontId="1" fillId="0" borderId="3" xfId="0" applyNumberFormat="1" applyFont="1" applyBorder="1" applyAlignment="1">
      <alignment vertical="center" wrapText="1"/>
    </xf>
    <xf numFmtId="49" fontId="4" fillId="0" borderId="3" xfId="0" applyNumberFormat="1" applyFont="1" applyBorder="1" applyAlignment="1">
      <alignment vertical="top" wrapText="1"/>
    </xf>
    <xf numFmtId="1" fontId="4" fillId="0" borderId="3" xfId="0" applyNumberFormat="1" applyFont="1" applyBorder="1" applyAlignment="1">
      <alignment vertical="top" wrapText="1"/>
    </xf>
    <xf numFmtId="1" fontId="4" fillId="0" borderId="3" xfId="0" applyNumberFormat="1" applyFont="1" applyBorder="1" applyAlignment="1">
      <alignment horizontal="left" vertical="top" wrapText="1" indent="1"/>
    </xf>
    <xf numFmtId="0" fontId="4" fillId="0" borderId="3" xfId="0" applyFont="1" applyBorder="1" applyAlignment="1">
      <alignment horizontal="left" vertical="top"/>
    </xf>
    <xf numFmtId="10" fontId="4" fillId="0" borderId="3" xfId="0" applyNumberFormat="1" applyFont="1" applyBorder="1" applyAlignment="1">
      <alignment horizontal="center" vertical="center" wrapText="1"/>
    </xf>
    <xf numFmtId="9" fontId="4" fillId="0" borderId="3" xfId="0" applyNumberFormat="1" applyFont="1" applyBorder="1" applyAlignment="1">
      <alignment horizontal="center" vertical="center" wrapText="1"/>
    </xf>
    <xf numFmtId="0" fontId="1" fillId="0" borderId="3" xfId="0" applyFont="1" applyBorder="1" applyAlignment="1">
      <alignment horizontal="left" vertical="top"/>
    </xf>
    <xf numFmtId="49" fontId="4" fillId="0" borderId="3" xfId="0" applyNumberFormat="1" applyFont="1" applyBorder="1" applyAlignment="1">
      <alignment horizontal="left" vertical="top"/>
    </xf>
    <xf numFmtId="0" fontId="4" fillId="0" borderId="3" xfId="0" applyFont="1" applyBorder="1" applyAlignment="1">
      <alignment horizontal="left" vertical="top" indent="1"/>
    </xf>
    <xf numFmtId="2" fontId="4" fillId="0" borderId="3" xfId="0" applyNumberFormat="1" applyFont="1" applyBorder="1"/>
    <xf numFmtId="49" fontId="1" fillId="0" borderId="3" xfId="0" applyNumberFormat="1" applyFont="1" applyBorder="1" applyAlignment="1">
      <alignment horizontal="left" vertical="top"/>
    </xf>
    <xf numFmtId="2" fontId="1" fillId="0" borderId="3" xfId="0" applyNumberFormat="1" applyFont="1" applyBorder="1"/>
    <xf numFmtId="0" fontId="10" fillId="0" borderId="0" xfId="0" applyFont="1"/>
    <xf numFmtId="0" fontId="17" fillId="2" borderId="0" xfId="0" applyFont="1" applyFill="1" applyAlignment="1">
      <alignment horizontal="center" vertical="center"/>
    </xf>
    <xf numFmtId="0" fontId="4" fillId="0" borderId="0" xfId="0" applyFont="1" applyAlignment="1">
      <alignment horizontal="right"/>
    </xf>
    <xf numFmtId="2" fontId="0" fillId="0" borderId="0" xfId="0" applyNumberFormat="1" applyAlignment="1">
      <alignment horizontal="center" vertical="center"/>
    </xf>
    <xf numFmtId="166" fontId="17" fillId="2" borderId="0" xfId="0" applyNumberFormat="1" applyFont="1" applyFill="1" applyAlignment="1">
      <alignment horizontal="center" vertical="center"/>
    </xf>
    <xf numFmtId="0" fontId="18" fillId="5" borderId="0" xfId="0" applyFont="1" applyFill="1"/>
    <xf numFmtId="0" fontId="19" fillId="5" borderId="0" xfId="0" applyFont="1" applyFill="1"/>
    <xf numFmtId="0" fontId="19" fillId="5" borderId="0" xfId="0" applyFont="1" applyFill="1" applyAlignment="1">
      <alignment horizontal="center"/>
    </xf>
    <xf numFmtId="0" fontId="20" fillId="5" borderId="0" xfId="0" applyFont="1" applyFill="1" applyAlignment="1">
      <alignment horizontal="left" vertical="center"/>
    </xf>
    <xf numFmtId="0" fontId="19" fillId="5" borderId="4" xfId="0" applyFont="1" applyFill="1" applyBorder="1"/>
    <xf numFmtId="0" fontId="19" fillId="5" borderId="5" xfId="0" applyFont="1" applyFill="1" applyBorder="1" applyAlignment="1">
      <alignment horizontal="center"/>
    </xf>
    <xf numFmtId="0" fontId="21" fillId="5" borderId="0" xfId="0" applyFont="1" applyFill="1"/>
    <xf numFmtId="0" fontId="21" fillId="5" borderId="1" xfId="0" applyFont="1" applyFill="1" applyBorder="1"/>
    <xf numFmtId="0" fontId="21" fillId="5" borderId="0" xfId="0" applyFont="1" applyFill="1" applyAlignment="1">
      <alignment horizontal="center"/>
    </xf>
    <xf numFmtId="0" fontId="19" fillId="5" borderId="10" xfId="0" applyFont="1" applyFill="1" applyBorder="1" applyAlignment="1">
      <alignment horizontal="center"/>
    </xf>
    <xf numFmtId="0" fontId="19" fillId="5" borderId="11" xfId="0" applyFont="1" applyFill="1" applyBorder="1" applyAlignment="1">
      <alignment horizontal="center"/>
    </xf>
    <xf numFmtId="0" fontId="19" fillId="5" borderId="12" xfId="0" applyFont="1" applyFill="1" applyBorder="1" applyAlignment="1">
      <alignment horizontal="center"/>
    </xf>
    <xf numFmtId="0" fontId="19" fillId="5" borderId="13" xfId="0" applyFont="1" applyFill="1" applyBorder="1" applyAlignment="1">
      <alignment horizontal="center"/>
    </xf>
    <xf numFmtId="0" fontId="19" fillId="5" borderId="5" xfId="0" applyFont="1" applyFill="1" applyBorder="1" applyAlignment="1">
      <alignment horizontal="left" wrapText="1"/>
    </xf>
    <xf numFmtId="0" fontId="19" fillId="5" borderId="0" xfId="0" applyFont="1" applyFill="1" applyAlignment="1">
      <alignment vertical="center"/>
    </xf>
    <xf numFmtId="0" fontId="19" fillId="5" borderId="4" xfId="0" applyFont="1" applyFill="1" applyBorder="1" applyAlignment="1">
      <alignment vertical="center"/>
    </xf>
    <xf numFmtId="0" fontId="19" fillId="5" borderId="6" xfId="0" applyFont="1" applyFill="1" applyBorder="1"/>
    <xf numFmtId="0" fontId="19" fillId="5" borderId="5" xfId="0" applyFont="1" applyFill="1" applyBorder="1"/>
    <xf numFmtId="0" fontId="20" fillId="5" borderId="21" xfId="0" applyFont="1" applyFill="1" applyBorder="1" applyAlignment="1">
      <alignment vertical="center"/>
    </xf>
    <xf numFmtId="0" fontId="20" fillId="5" borderId="11" xfId="0" applyFont="1" applyFill="1" applyBorder="1" applyAlignment="1">
      <alignment horizontal="right" vertical="center"/>
    </xf>
    <xf numFmtId="0" fontId="20" fillId="5" borderId="11" xfId="0" applyFont="1" applyFill="1" applyBorder="1" applyAlignment="1">
      <alignment vertical="center"/>
    </xf>
    <xf numFmtId="2" fontId="25" fillId="5" borderId="11" xfId="0" applyNumberFormat="1" applyFont="1" applyFill="1" applyBorder="1" applyAlignment="1">
      <alignment horizontal="left" vertical="center"/>
    </xf>
    <xf numFmtId="0" fontId="20" fillId="5" borderId="11" xfId="0" applyFont="1" applyFill="1" applyBorder="1" applyAlignment="1">
      <alignment horizontal="left" vertical="center"/>
    </xf>
    <xf numFmtId="0" fontId="20" fillId="5" borderId="22" xfId="0" applyFont="1" applyFill="1" applyBorder="1" applyAlignment="1">
      <alignment vertical="center"/>
    </xf>
    <xf numFmtId="0" fontId="24" fillId="5" borderId="0" xfId="0" applyFont="1" applyFill="1" applyAlignment="1">
      <alignment vertical="center"/>
    </xf>
    <xf numFmtId="0" fontId="24" fillId="5" borderId="7" xfId="0" applyFont="1" applyFill="1" applyBorder="1" applyAlignment="1">
      <alignment vertical="center"/>
    </xf>
    <xf numFmtId="0" fontId="24" fillId="5" borderId="5" xfId="0" applyFont="1" applyFill="1" applyBorder="1" applyAlignment="1">
      <alignment vertical="center"/>
    </xf>
    <xf numFmtId="0" fontId="24" fillId="5" borderId="25" xfId="0" applyFont="1" applyFill="1" applyBorder="1" applyAlignment="1">
      <alignment vertical="center"/>
    </xf>
    <xf numFmtId="0" fontId="25" fillId="5" borderId="13" xfId="0" applyFont="1" applyFill="1" applyBorder="1" applyAlignment="1">
      <alignment horizontal="center" vertical="center"/>
    </xf>
    <xf numFmtId="0" fontId="25" fillId="5" borderId="12" xfId="0" applyFont="1" applyFill="1" applyBorder="1" applyAlignment="1">
      <alignment horizontal="center" vertical="center"/>
    </xf>
    <xf numFmtId="0" fontId="25" fillId="5" borderId="0" xfId="0" applyFont="1" applyFill="1" applyAlignment="1">
      <alignment vertical="center"/>
    </xf>
    <xf numFmtId="0" fontId="25" fillId="5" borderId="0" xfId="0" applyFont="1" applyFill="1" applyAlignment="1">
      <alignment horizontal="center" vertical="center"/>
    </xf>
    <xf numFmtId="0" fontId="25" fillId="5" borderId="28" xfId="0" applyFont="1" applyFill="1" applyBorder="1" applyAlignment="1">
      <alignment horizontal="center" vertical="center"/>
    </xf>
    <xf numFmtId="0" fontId="25" fillId="5" borderId="30" xfId="0" applyFont="1" applyFill="1" applyBorder="1" applyAlignment="1">
      <alignment horizontal="center" vertical="center"/>
    </xf>
    <xf numFmtId="0" fontId="25" fillId="5" borderId="23" xfId="0" applyFont="1" applyFill="1" applyBorder="1" applyAlignment="1">
      <alignment horizontal="center" vertical="center"/>
    </xf>
    <xf numFmtId="0" fontId="25" fillId="5" borderId="31" xfId="0" applyFont="1" applyFill="1" applyBorder="1" applyAlignment="1">
      <alignment horizontal="center" vertical="center"/>
    </xf>
    <xf numFmtId="1" fontId="26" fillId="5" borderId="13" xfId="0" applyNumberFormat="1" applyFont="1" applyFill="1" applyBorder="1" applyAlignment="1">
      <alignment horizontal="center" vertical="center" wrapText="1"/>
    </xf>
    <xf numFmtId="0" fontId="26" fillId="5" borderId="13" xfId="0" applyFont="1" applyFill="1" applyBorder="1" applyAlignment="1">
      <alignment horizontal="center" vertical="center" wrapText="1"/>
    </xf>
    <xf numFmtId="2" fontId="26" fillId="5" borderId="13" xfId="0" applyNumberFormat="1" applyFont="1" applyFill="1" applyBorder="1" applyAlignment="1">
      <alignment horizontal="center" vertical="center"/>
    </xf>
    <xf numFmtId="2" fontId="26" fillId="5" borderId="32" xfId="0" applyNumberFormat="1" applyFont="1" applyFill="1" applyBorder="1" applyAlignment="1">
      <alignment horizontal="center" vertical="center"/>
    </xf>
    <xf numFmtId="2" fontId="26" fillId="5" borderId="12" xfId="0" applyNumberFormat="1" applyFont="1" applyFill="1" applyBorder="1" applyAlignment="1">
      <alignment horizontal="center" vertical="center"/>
    </xf>
    <xf numFmtId="2" fontId="26" fillId="5" borderId="28" xfId="0" applyNumberFormat="1" applyFont="1" applyFill="1" applyBorder="1" applyAlignment="1">
      <alignment horizontal="right" vertical="center"/>
    </xf>
    <xf numFmtId="0" fontId="26" fillId="5" borderId="13" xfId="0" applyFont="1" applyFill="1" applyBorder="1" applyAlignment="1">
      <alignment horizontal="center" vertical="center"/>
    </xf>
    <xf numFmtId="0" fontId="27" fillId="5" borderId="33" xfId="0" applyFont="1" applyFill="1" applyBorder="1" applyAlignment="1">
      <alignment horizontal="center" vertical="center"/>
    </xf>
    <xf numFmtId="0" fontId="27" fillId="5" borderId="33" xfId="0" applyFont="1" applyFill="1" applyBorder="1" applyAlignment="1">
      <alignment horizontal="left" vertical="center"/>
    </xf>
    <xf numFmtId="0" fontId="27" fillId="5" borderId="33" xfId="0" applyFont="1" applyFill="1" applyBorder="1" applyAlignment="1">
      <alignment horizontal="center"/>
    </xf>
    <xf numFmtId="0" fontId="27" fillId="5" borderId="34" xfId="0" applyFont="1" applyFill="1" applyBorder="1" applyAlignment="1">
      <alignment vertical="center"/>
    </xf>
    <xf numFmtId="0" fontId="27" fillId="5" borderId="35" xfId="0" applyFont="1" applyFill="1" applyBorder="1" applyAlignment="1">
      <alignment vertical="center"/>
    </xf>
    <xf numFmtId="0" fontId="27" fillId="5" borderId="34" xfId="0" applyFont="1" applyFill="1" applyBorder="1" applyAlignment="1">
      <alignment horizontal="left" vertical="center"/>
    </xf>
    <xf numFmtId="2" fontId="27" fillId="5" borderId="33" xfId="0" applyNumberFormat="1" applyFont="1" applyFill="1" applyBorder="1" applyAlignment="1">
      <alignment vertical="center"/>
    </xf>
    <xf numFmtId="2" fontId="27" fillId="5" borderId="13" xfId="0" applyNumberFormat="1" applyFont="1" applyFill="1" applyBorder="1" applyAlignment="1">
      <alignment vertical="center"/>
    </xf>
    <xf numFmtId="0" fontId="27" fillId="5" borderId="0" xfId="0" applyFont="1" applyFill="1" applyAlignment="1">
      <alignment horizontal="center" vertical="center"/>
    </xf>
    <xf numFmtId="2" fontId="26" fillId="5" borderId="13" xfId="0" applyNumberFormat="1" applyFont="1" applyFill="1" applyBorder="1" applyAlignment="1">
      <alignment horizontal="right" vertical="center"/>
    </xf>
    <xf numFmtId="0" fontId="19" fillId="5" borderId="10" xfId="0" applyFont="1" applyFill="1" applyBorder="1"/>
    <xf numFmtId="0" fontId="19" fillId="5" borderId="11" xfId="0" applyFont="1" applyFill="1" applyBorder="1"/>
    <xf numFmtId="0" fontId="18" fillId="5" borderId="0" xfId="0" applyFont="1" applyFill="1" applyAlignment="1">
      <alignment horizontal="right"/>
    </xf>
    <xf numFmtId="0" fontId="18" fillId="5" borderId="0" xfId="0" applyFont="1" applyFill="1" applyAlignment="1">
      <alignment horizontal="left"/>
    </xf>
    <xf numFmtId="0" fontId="20" fillId="5" borderId="5" xfId="0" applyFont="1" applyFill="1" applyBorder="1" applyAlignment="1">
      <alignment horizontal="left" indent="1"/>
    </xf>
    <xf numFmtId="0" fontId="20" fillId="5" borderId="5" xfId="0" applyFont="1" applyFill="1" applyBorder="1"/>
    <xf numFmtId="0" fontId="19" fillId="5" borderId="31" xfId="0" applyFont="1" applyFill="1" applyBorder="1"/>
    <xf numFmtId="0" fontId="20" fillId="5" borderId="31" xfId="0" applyFont="1" applyFill="1" applyBorder="1" applyAlignment="1">
      <alignment horizontal="left" vertical="center" indent="1"/>
    </xf>
    <xf numFmtId="0" fontId="20" fillId="5" borderId="31" xfId="0" applyFont="1" applyFill="1" applyBorder="1" applyAlignment="1">
      <alignment vertical="center"/>
    </xf>
    <xf numFmtId="2" fontId="19" fillId="5" borderId="0" xfId="0" applyNumberFormat="1" applyFont="1" applyFill="1"/>
    <xf numFmtId="0" fontId="19" fillId="5" borderId="0" xfId="0" applyFont="1" applyFill="1" applyAlignment="1">
      <alignment horizontal="left" indent="3"/>
    </xf>
    <xf numFmtId="0" fontId="19" fillId="5" borderId="37" xfId="0" applyFont="1" applyFill="1" applyBorder="1"/>
    <xf numFmtId="0" fontId="18" fillId="5" borderId="37" xfId="0" applyFont="1" applyFill="1" applyBorder="1"/>
    <xf numFmtId="0" fontId="29" fillId="0" borderId="0" xfId="0" applyFont="1" applyAlignment="1">
      <alignment horizontal="center" vertical="center" wrapText="1"/>
    </xf>
    <xf numFmtId="0" fontId="0" fillId="0" borderId="0" xfId="0" applyAlignment="1">
      <alignment vertical="center" wrapText="1"/>
    </xf>
    <xf numFmtId="0" fontId="29" fillId="0" borderId="0" xfId="0" applyFont="1" applyAlignment="1">
      <alignment horizontal="center" wrapText="1"/>
    </xf>
    <xf numFmtId="0" fontId="0" fillId="0" borderId="0" xfId="0" applyAlignment="1">
      <alignment horizontal="center" wrapText="1"/>
    </xf>
    <xf numFmtId="0" fontId="2" fillId="0" borderId="0" xfId="0" applyFont="1" applyAlignment="1">
      <alignment horizontal="center"/>
    </xf>
    <xf numFmtId="0" fontId="31" fillId="0" borderId="0" xfId="0" applyFont="1" applyAlignment="1">
      <alignment vertical="center"/>
    </xf>
    <xf numFmtId="0" fontId="31" fillId="0" borderId="0" xfId="0" applyFont="1" applyAlignment="1">
      <alignment horizontal="center" vertical="center"/>
    </xf>
    <xf numFmtId="0" fontId="30" fillId="0" borderId="0" xfId="0" applyFont="1" applyAlignment="1">
      <alignment vertical="center"/>
    </xf>
    <xf numFmtId="166" fontId="5" fillId="0" borderId="3" xfId="0" applyNumberFormat="1" applyFont="1" applyBorder="1" applyAlignment="1">
      <alignment horizontal="center" vertical="center" wrapText="1"/>
    </xf>
    <xf numFmtId="166" fontId="26" fillId="5" borderId="13" xfId="0" applyNumberFormat="1" applyFont="1" applyFill="1" applyBorder="1" applyAlignment="1">
      <alignment horizontal="center" vertical="center"/>
    </xf>
    <xf numFmtId="166" fontId="4" fillId="0" borderId="3" xfId="0" applyNumberFormat="1" applyFont="1" applyBorder="1" applyAlignment="1">
      <alignment horizontal="center" vertical="center" wrapText="1"/>
    </xf>
    <xf numFmtId="166" fontId="1" fillId="4" borderId="3" xfId="0" applyNumberFormat="1" applyFont="1" applyFill="1" applyBorder="1" applyAlignment="1">
      <alignment horizontal="right" vertical="center" wrapText="1"/>
    </xf>
    <xf numFmtId="166" fontId="5" fillId="0" borderId="3" xfId="0" applyNumberFormat="1" applyFont="1" applyBorder="1" applyAlignment="1">
      <alignment horizontal="right" vertical="center" wrapText="1"/>
    </xf>
    <xf numFmtId="166" fontId="13" fillId="0" borderId="3" xfId="0" applyNumberFormat="1" applyFont="1" applyBorder="1" applyAlignment="1">
      <alignment horizontal="right" vertical="center" wrapText="1"/>
    </xf>
    <xf numFmtId="0" fontId="0" fillId="0" borderId="0" xfId="0" applyAlignment="1">
      <alignment wrapText="1"/>
    </xf>
    <xf numFmtId="0" fontId="0" fillId="0" borderId="0" xfId="0" applyAlignment="1">
      <alignment horizontal="center" vertical="center"/>
    </xf>
    <xf numFmtId="0" fontId="0" fillId="6" borderId="3" xfId="0" applyFill="1" applyBorder="1" applyAlignment="1">
      <alignment horizontal="center" vertical="center"/>
    </xf>
    <xf numFmtId="0" fontId="32" fillId="7" borderId="3" xfId="0" applyFont="1" applyFill="1" applyBorder="1" applyAlignment="1">
      <alignment horizontal="center" vertical="center" wrapText="1"/>
    </xf>
    <xf numFmtId="0" fontId="32" fillId="7" borderId="3" xfId="0" applyFont="1" applyFill="1" applyBorder="1" applyAlignment="1">
      <alignment horizontal="center" vertical="center"/>
    </xf>
    <xf numFmtId="0" fontId="0" fillId="6" borderId="3" xfId="0" applyFill="1" applyBorder="1" applyAlignment="1">
      <alignment horizontal="left" vertical="center"/>
    </xf>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top"/>
    </xf>
    <xf numFmtId="2" fontId="2" fillId="0" borderId="0" xfId="0" applyNumberFormat="1" applyFont="1" applyAlignment="1">
      <alignment horizontal="right" vertical="top"/>
    </xf>
    <xf numFmtId="0" fontId="2" fillId="0" borderId="0" xfId="0" applyFont="1"/>
    <xf numFmtId="2" fontId="2" fillId="0" borderId="0" xfId="0" applyNumberFormat="1" applyFont="1" applyAlignment="1">
      <alignment horizontal="right"/>
    </xf>
    <xf numFmtId="0" fontId="2" fillId="8" borderId="0" xfId="0" applyFont="1" applyFill="1" applyAlignment="1">
      <alignment horizontal="left" vertical="top"/>
    </xf>
    <xf numFmtId="2" fontId="2" fillId="8" borderId="0" xfId="0" applyNumberFormat="1" applyFont="1" applyFill="1" applyAlignment="1">
      <alignment horizontal="right"/>
    </xf>
    <xf numFmtId="2" fontId="2" fillId="8" borderId="0" xfId="0" applyNumberFormat="1" applyFont="1" applyFill="1" applyAlignment="1">
      <alignment horizontal="left" vertical="top"/>
    </xf>
    <xf numFmtId="0" fontId="0" fillId="6" borderId="3" xfId="0" applyFill="1" applyBorder="1"/>
    <xf numFmtId="0" fontId="32" fillId="6" borderId="3" xfId="0" applyFont="1" applyFill="1" applyBorder="1" applyAlignment="1">
      <alignment horizontal="center" vertical="center"/>
    </xf>
    <xf numFmtId="0" fontId="28" fillId="5" borderId="0" xfId="0" applyFont="1" applyFill="1" applyAlignment="1">
      <alignment horizontal="left"/>
    </xf>
    <xf numFmtId="0" fontId="19" fillId="5" borderId="0" xfId="0" applyFont="1" applyFill="1" applyAlignment="1">
      <alignment horizontal="left" vertical="center"/>
    </xf>
    <xf numFmtId="0" fontId="18" fillId="5" borderId="11" xfId="0" applyFont="1" applyFill="1" applyBorder="1" applyAlignment="1">
      <alignment horizontal="right" vertical="top" wrapText="1"/>
    </xf>
    <xf numFmtId="0" fontId="18" fillId="5" borderId="0" xfId="0" applyFont="1" applyFill="1" applyAlignment="1">
      <alignment horizontal="right" vertical="top" wrapText="1"/>
    </xf>
    <xf numFmtId="0" fontId="19" fillId="5" borderId="5" xfId="0" applyFont="1" applyFill="1" applyBorder="1" applyAlignment="1">
      <alignment horizontal="center"/>
    </xf>
    <xf numFmtId="2" fontId="20" fillId="5" borderId="5" xfId="0" applyNumberFormat="1" applyFont="1" applyFill="1" applyBorder="1" applyAlignment="1">
      <alignment horizontal="right" vertical="center"/>
    </xf>
    <xf numFmtId="0" fontId="24" fillId="5" borderId="11" xfId="0" applyFont="1" applyFill="1" applyBorder="1" applyAlignment="1">
      <alignment horizontal="left" vertical="top" wrapText="1"/>
    </xf>
    <xf numFmtId="0" fontId="19" fillId="5" borderId="0" xfId="0" applyFont="1" applyFill="1" applyAlignment="1">
      <alignment horizontal="center"/>
    </xf>
    <xf numFmtId="0" fontId="18" fillId="5" borderId="0" xfId="0" applyFont="1" applyFill="1" applyAlignment="1">
      <alignment horizontal="right"/>
    </xf>
    <xf numFmtId="0" fontId="19" fillId="5" borderId="0" xfId="0" applyFont="1" applyFill="1" applyAlignment="1">
      <alignment horizontal="left"/>
    </xf>
    <xf numFmtId="2" fontId="20" fillId="5" borderId="31" xfId="0" applyNumberFormat="1" applyFont="1" applyFill="1" applyBorder="1" applyAlignment="1">
      <alignment horizontal="right" vertical="center"/>
    </xf>
    <xf numFmtId="0" fontId="27" fillId="5" borderId="33" xfId="0" applyFont="1" applyFill="1" applyBorder="1" applyAlignment="1">
      <alignment horizontal="left" vertical="center"/>
    </xf>
    <xf numFmtId="0" fontId="27" fillId="5" borderId="36" xfId="0" applyFont="1" applyFill="1" applyBorder="1" applyAlignment="1">
      <alignment horizontal="center" vertical="center"/>
    </xf>
    <xf numFmtId="2" fontId="27" fillId="5" borderId="33" xfId="0" applyNumberFormat="1" applyFont="1" applyFill="1" applyBorder="1" applyAlignment="1">
      <alignment horizontal="center" vertical="center"/>
    </xf>
    <xf numFmtId="0" fontId="26" fillId="5" borderId="13" xfId="0" applyFont="1" applyFill="1" applyBorder="1" applyAlignment="1">
      <alignment horizontal="left" vertical="center" wrapText="1"/>
    </xf>
    <xf numFmtId="2" fontId="26" fillId="5" borderId="13" xfId="0" applyNumberFormat="1" applyFont="1" applyFill="1" applyBorder="1" applyAlignment="1">
      <alignment horizontal="center" vertical="center" wrapText="1"/>
    </xf>
    <xf numFmtId="2" fontId="26" fillId="5" borderId="13" xfId="0" applyNumberFormat="1" applyFont="1" applyFill="1" applyBorder="1" applyAlignment="1">
      <alignment horizontal="center" vertical="center"/>
    </xf>
    <xf numFmtId="2" fontId="26" fillId="5" borderId="30" xfId="0" applyNumberFormat="1" applyFont="1" applyFill="1" applyBorder="1" applyAlignment="1">
      <alignment horizontal="center" vertical="center"/>
    </xf>
    <xf numFmtId="2" fontId="26" fillId="5" borderId="23" xfId="0" applyNumberFormat="1" applyFont="1" applyFill="1" applyBorder="1" applyAlignment="1">
      <alignment horizontal="center" vertical="center"/>
    </xf>
    <xf numFmtId="2" fontId="26" fillId="5" borderId="12" xfId="0" applyNumberFormat="1" applyFont="1" applyFill="1" applyBorder="1" applyAlignment="1">
      <alignment horizontal="center" vertical="center"/>
    </xf>
    <xf numFmtId="2" fontId="26" fillId="5" borderId="31" xfId="0" applyNumberFormat="1" applyFont="1" applyFill="1" applyBorder="1" applyAlignment="1">
      <alignment horizontal="center" vertical="center"/>
    </xf>
    <xf numFmtId="0" fontId="25" fillId="5" borderId="27" xfId="0" applyFont="1" applyFill="1" applyBorder="1" applyAlignment="1">
      <alignment horizontal="left" vertical="top" wrapText="1" indent="1"/>
    </xf>
    <xf numFmtId="0" fontId="25" fillId="5" borderId="24" xfId="0" applyFont="1" applyFill="1" applyBorder="1" applyAlignment="1">
      <alignment horizontal="center" vertical="center"/>
    </xf>
    <xf numFmtId="0" fontId="25" fillId="5" borderId="13" xfId="0" applyFont="1" applyFill="1" applyBorder="1" applyAlignment="1">
      <alignment horizontal="center" vertical="center"/>
    </xf>
    <xf numFmtId="0" fontId="25" fillId="5" borderId="29" xfId="0" applyFont="1" applyFill="1" applyBorder="1" applyAlignment="1">
      <alignment horizontal="left" vertical="top" wrapText="1" indent="1"/>
    </xf>
    <xf numFmtId="0" fontId="26" fillId="5" borderId="12" xfId="0" applyFont="1" applyFill="1" applyBorder="1" applyAlignment="1">
      <alignment horizontal="left" vertical="center" wrapText="1"/>
    </xf>
    <xf numFmtId="0" fontId="26" fillId="5" borderId="31" xfId="0" applyFont="1" applyFill="1" applyBorder="1" applyAlignment="1">
      <alignment horizontal="left" vertical="center" wrapText="1"/>
    </xf>
    <xf numFmtId="0" fontId="26" fillId="5" borderId="23" xfId="0" applyFont="1" applyFill="1" applyBorder="1" applyAlignment="1">
      <alignment horizontal="left" vertical="center" wrapText="1"/>
    </xf>
    <xf numFmtId="2" fontId="26" fillId="5" borderId="12" xfId="0" applyNumberFormat="1" applyFont="1" applyFill="1" applyBorder="1" applyAlignment="1">
      <alignment horizontal="center" vertical="center" wrapText="1"/>
    </xf>
    <xf numFmtId="2" fontId="26" fillId="5" borderId="23" xfId="0" applyNumberFormat="1" applyFont="1" applyFill="1" applyBorder="1" applyAlignment="1">
      <alignment horizontal="center" vertical="center" wrapText="1"/>
    </xf>
    <xf numFmtId="166" fontId="26" fillId="5" borderId="12" xfId="0" applyNumberFormat="1" applyFont="1" applyFill="1" applyBorder="1" applyAlignment="1">
      <alignment horizontal="center" vertical="center"/>
    </xf>
    <xf numFmtId="166" fontId="26" fillId="5" borderId="23" xfId="0" applyNumberFormat="1" applyFont="1" applyFill="1" applyBorder="1" applyAlignment="1">
      <alignment horizontal="center" vertical="center"/>
    </xf>
    <xf numFmtId="0" fontId="25" fillId="5" borderId="26" xfId="0" applyFont="1" applyFill="1" applyBorder="1" applyAlignment="1">
      <alignment horizontal="center" vertical="center"/>
    </xf>
    <xf numFmtId="49" fontId="24" fillId="5" borderId="12" xfId="0" applyNumberFormat="1" applyFont="1" applyFill="1" applyBorder="1" applyAlignment="1">
      <alignment horizontal="center" vertical="center" wrapText="1"/>
    </xf>
    <xf numFmtId="0" fontId="24" fillId="5" borderId="23" xfId="0" applyFont="1" applyFill="1" applyBorder="1" applyAlignment="1">
      <alignment horizontal="center" vertical="center" wrapText="1"/>
    </xf>
    <xf numFmtId="0" fontId="24" fillId="5" borderId="12" xfId="0" applyFont="1" applyFill="1" applyBorder="1" applyAlignment="1">
      <alignment horizontal="center" vertical="center"/>
    </xf>
    <xf numFmtId="0" fontId="24" fillId="5" borderId="24" xfId="0" applyFont="1" applyFill="1" applyBorder="1" applyAlignment="1">
      <alignment horizontal="center" vertical="center"/>
    </xf>
    <xf numFmtId="0" fontId="24" fillId="5" borderId="13" xfId="0" applyFont="1" applyFill="1" applyBorder="1" applyAlignment="1">
      <alignment horizontal="center" vertical="center" wrapText="1"/>
    </xf>
    <xf numFmtId="0" fontId="24" fillId="5" borderId="20" xfId="0" applyFont="1" applyFill="1" applyBorder="1" applyAlignment="1">
      <alignment horizontal="center" vertical="center"/>
    </xf>
    <xf numFmtId="0" fontId="24" fillId="5" borderId="12" xfId="0" applyFont="1" applyFill="1" applyBorder="1" applyAlignment="1">
      <alignment horizontal="center" vertical="center" wrapText="1"/>
    </xf>
    <xf numFmtId="0" fontId="24" fillId="5" borderId="24" xfId="0" applyFont="1" applyFill="1" applyBorder="1" applyAlignment="1">
      <alignment horizontal="center" vertical="center" wrapText="1"/>
    </xf>
    <xf numFmtId="0" fontId="19" fillId="5" borderId="4" xfId="0" applyFont="1" applyFill="1" applyBorder="1" applyAlignment="1">
      <alignment horizontal="center"/>
    </xf>
    <xf numFmtId="0" fontId="19" fillId="5" borderId="14" xfId="0" applyFont="1" applyFill="1" applyBorder="1" applyAlignment="1">
      <alignment horizontal="center"/>
    </xf>
    <xf numFmtId="167" fontId="19" fillId="5" borderId="12" xfId="0" applyNumberFormat="1" applyFont="1" applyFill="1" applyBorder="1" applyAlignment="1">
      <alignment horizontal="center"/>
    </xf>
    <xf numFmtId="167" fontId="19" fillId="5" borderId="13" xfId="0" applyNumberFormat="1" applyFont="1" applyFill="1" applyBorder="1" applyAlignment="1">
      <alignment horizontal="center"/>
    </xf>
    <xf numFmtId="0" fontId="19" fillId="5" borderId="0" xfId="0" applyFont="1" applyFill="1" applyAlignment="1">
      <alignment horizontal="left" vertical="top" wrapText="1"/>
    </xf>
    <xf numFmtId="0" fontId="19" fillId="5" borderId="19" xfId="0" applyFont="1" applyFill="1" applyBorder="1" applyAlignment="1">
      <alignment horizontal="center"/>
    </xf>
    <xf numFmtId="0" fontId="19" fillId="5" borderId="20" xfId="0" applyFont="1" applyFill="1" applyBorder="1" applyAlignment="1">
      <alignment horizontal="center"/>
    </xf>
    <xf numFmtId="0" fontId="19" fillId="5" borderId="12" xfId="0" applyFont="1" applyFill="1" applyBorder="1" applyAlignment="1">
      <alignment horizontal="center"/>
    </xf>
    <xf numFmtId="0" fontId="19" fillId="5" borderId="13" xfId="0" applyFont="1" applyFill="1" applyBorder="1" applyAlignment="1">
      <alignment horizontal="center"/>
    </xf>
    <xf numFmtId="0" fontId="19" fillId="5" borderId="0" xfId="0" applyFont="1" applyFill="1" applyAlignment="1">
      <alignment horizontal="center" vertical="center" wrapText="1"/>
    </xf>
    <xf numFmtId="0" fontId="23" fillId="5" borderId="8" xfId="0" applyFont="1" applyFill="1" applyBorder="1" applyAlignment="1">
      <alignment horizontal="left" indent="3"/>
    </xf>
    <xf numFmtId="0" fontId="19" fillId="5" borderId="0" xfId="0" applyFont="1" applyFill="1" applyAlignment="1">
      <alignment horizontal="center" vertical="center"/>
    </xf>
    <xf numFmtId="0" fontId="20" fillId="5" borderId="9" xfId="0" applyFont="1" applyFill="1" applyBorder="1" applyAlignment="1">
      <alignment horizontal="center"/>
    </xf>
    <xf numFmtId="0" fontId="20" fillId="5" borderId="8" xfId="0" applyFont="1" applyFill="1" applyBorder="1" applyAlignment="1">
      <alignment horizontal="center"/>
    </xf>
    <xf numFmtId="0" fontId="19" fillId="5" borderId="8" xfId="0" applyFont="1" applyFill="1" applyBorder="1" applyAlignment="1">
      <alignment horizontal="left" wrapText="1"/>
    </xf>
    <xf numFmtId="0" fontId="22" fillId="5" borderId="0" xfId="0" applyFont="1" applyFill="1" applyAlignment="1">
      <alignment horizontal="center"/>
    </xf>
    <xf numFmtId="0" fontId="19" fillId="5" borderId="9" xfId="0" applyFont="1" applyFill="1" applyBorder="1" applyAlignment="1">
      <alignment horizontal="left" indent="1"/>
    </xf>
    <xf numFmtId="0" fontId="19" fillId="5" borderId="14" xfId="0" applyFont="1" applyFill="1" applyBorder="1" applyAlignment="1">
      <alignment vertical="center"/>
    </xf>
    <xf numFmtId="0" fontId="19" fillId="5" borderId="0" xfId="0" applyFont="1" applyFill="1" applyAlignment="1">
      <alignment vertical="center"/>
    </xf>
    <xf numFmtId="0" fontId="19" fillId="5" borderId="15" xfId="0" applyFont="1" applyFill="1" applyBorder="1" applyAlignment="1">
      <alignment vertical="center"/>
    </xf>
    <xf numFmtId="0" fontId="19" fillId="5" borderId="18" xfId="0" applyFont="1" applyFill="1" applyBorder="1"/>
    <xf numFmtId="0" fontId="19" fillId="5" borderId="8" xfId="0" applyFont="1" applyFill="1" applyBorder="1" applyAlignment="1">
      <alignment vertical="center"/>
    </xf>
    <xf numFmtId="0" fontId="19" fillId="5" borderId="9" xfId="0" applyFont="1" applyFill="1" applyBorder="1" applyAlignment="1">
      <alignment vertical="center"/>
    </xf>
    <xf numFmtId="0" fontId="20" fillId="5" borderId="16" xfId="0" applyFont="1" applyFill="1" applyBorder="1" applyAlignment="1">
      <alignment horizontal="center"/>
    </xf>
    <xf numFmtId="0" fontId="20" fillId="5" borderId="17" xfId="0" applyFont="1" applyFill="1" applyBorder="1" applyAlignment="1">
      <alignment horizontal="center"/>
    </xf>
    <xf numFmtId="0" fontId="20" fillId="5" borderId="18" xfId="0" applyFont="1" applyFill="1" applyBorder="1" applyAlignment="1">
      <alignment horizontal="center"/>
    </xf>
    <xf numFmtId="0" fontId="19" fillId="5" borderId="0" xfId="0" applyFont="1" applyFill="1" applyAlignment="1">
      <alignment horizontal="left" vertical="top" wrapText="1" indent="2"/>
    </xf>
    <xf numFmtId="0" fontId="21" fillId="5" borderId="5" xfId="0" applyFont="1" applyFill="1" applyBorder="1" applyAlignment="1">
      <alignment horizontal="center"/>
    </xf>
    <xf numFmtId="0" fontId="19" fillId="5" borderId="6" xfId="0" applyFont="1" applyFill="1" applyBorder="1" applyAlignment="1">
      <alignment horizontal="center"/>
    </xf>
    <xf numFmtId="0" fontId="19" fillId="5" borderId="7" xfId="0" applyFont="1" applyFill="1" applyBorder="1" applyAlignment="1">
      <alignment horizontal="center"/>
    </xf>
    <xf numFmtId="0" fontId="4" fillId="0" borderId="0" xfId="0" applyFont="1" applyAlignment="1">
      <alignment horizontal="left"/>
    </xf>
    <xf numFmtId="0" fontId="1" fillId="0" borderId="0" xfId="0" applyFont="1" applyAlignment="1">
      <alignment horizontal="center" wrapText="1"/>
    </xf>
    <xf numFmtId="49" fontId="4" fillId="0" borderId="0" xfId="0" applyNumberFormat="1" applyFont="1" applyAlignment="1">
      <alignment horizontal="left" vertical="top"/>
    </xf>
    <xf numFmtId="0" fontId="13" fillId="2" borderId="0" xfId="0" applyFont="1" applyFill="1" applyAlignment="1">
      <alignment horizontal="left" vertical="top" wrapText="1"/>
    </xf>
    <xf numFmtId="0" fontId="14" fillId="2" borderId="0" xfId="0" applyFont="1" applyFill="1" applyAlignment="1">
      <alignment horizontal="left" vertical="top" wrapText="1"/>
    </xf>
    <xf numFmtId="0" fontId="4" fillId="0" borderId="0" xfId="0" applyFont="1" applyAlignment="1">
      <alignment horizontal="right"/>
    </xf>
    <xf numFmtId="165" fontId="4" fillId="2" borderId="0" xfId="0" applyNumberFormat="1" applyFont="1" applyFill="1" applyAlignment="1">
      <alignment horizontal="center"/>
    </xf>
    <xf numFmtId="0" fontId="1" fillId="0" borderId="0" xfId="0" applyFont="1" applyAlignment="1">
      <alignment horizontal="left"/>
    </xf>
    <xf numFmtId="49" fontId="4" fillId="0" borderId="0" xfId="0" applyNumberFormat="1" applyFont="1" applyAlignment="1">
      <alignment horizontal="left"/>
    </xf>
    <xf numFmtId="0" fontId="4" fillId="0" borderId="2" xfId="0" applyFont="1" applyBorder="1" applyAlignment="1">
      <alignment horizontal="center" vertical="top"/>
    </xf>
    <xf numFmtId="49" fontId="1" fillId="0" borderId="0" xfId="0" applyNumberFormat="1" applyFont="1" applyAlignment="1">
      <alignment horizontal="left"/>
    </xf>
    <xf numFmtId="164" fontId="12" fillId="2" borderId="1" xfId="0" applyNumberFormat="1" applyFont="1" applyFill="1" applyBorder="1" applyAlignment="1">
      <alignment horizontal="left" vertical="center"/>
    </xf>
    <xf numFmtId="0" fontId="9" fillId="0" borderId="2" xfId="0" applyFont="1" applyBorder="1" applyAlignment="1">
      <alignment horizontal="center" vertical="top"/>
    </xf>
    <xf numFmtId="0" fontId="1" fillId="2" borderId="1" xfId="0" applyFont="1" applyFill="1" applyBorder="1" applyAlignment="1">
      <alignment horizontal="left" vertical="top" wrapText="1"/>
    </xf>
    <xf numFmtId="0" fontId="1" fillId="2" borderId="0" xfId="0" applyFont="1" applyFill="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12700</xdr:colOff>
      <xdr:row>1</xdr:row>
      <xdr:rowOff>82550</xdr:rowOff>
    </xdr:from>
    <xdr:to>
      <xdr:col>19</xdr:col>
      <xdr:colOff>590550</xdr:colOff>
      <xdr:row>34</xdr:row>
      <xdr:rowOff>12700</xdr:rowOff>
    </xdr:to>
    <xdr:sp macro="" textlink="">
      <xdr:nvSpPr>
        <xdr:cNvPr id="2" name="TextBox 1">
          <a:extLst>
            <a:ext uri="{FF2B5EF4-FFF2-40B4-BE49-F238E27FC236}">
              <a16:creationId xmlns:a16="http://schemas.microsoft.com/office/drawing/2014/main" id="{B8F45E0B-81C1-313C-AEFB-0E388C82932B}"/>
            </a:ext>
          </a:extLst>
        </xdr:cNvPr>
        <xdr:cNvSpPr txBox="1"/>
      </xdr:nvSpPr>
      <xdr:spPr>
        <a:xfrm>
          <a:off x="7651750" y="374650"/>
          <a:ext cx="7842250" cy="60071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spcCol="0" rtlCol="0" anchor="t"/>
        <a:lstStyle/>
        <a:p>
          <a:r>
            <a:rPr lang="en-US" sz="1400">
              <a:ln>
                <a:solidFill>
                  <a:schemeClr val="accent5">
                    <a:lumMod val="75000"/>
                  </a:schemeClr>
                </a:solidFill>
              </a:ln>
              <a:solidFill>
                <a:schemeClr val="accent2">
                  <a:lumMod val="75000"/>
                </a:schemeClr>
              </a:solidFill>
              <a:latin typeface="Times New Roman" panose="02020603050405020304" pitchFamily="18" charset="0"/>
              <a:cs typeface="Times New Roman" panose="02020603050405020304" pitchFamily="18" charset="0"/>
            </a:rPr>
            <a:t>INSTRUCTIUNE</a:t>
          </a:r>
        </a:p>
        <a:p>
          <a:endParaRPr lang="en-US" sz="1400">
            <a:solidFill>
              <a:schemeClr val="accent2">
                <a:lumMod val="75000"/>
              </a:schemeClr>
            </a:solidFill>
            <a:latin typeface="Times New Roman" panose="02020603050405020304" pitchFamily="18" charset="0"/>
            <a:cs typeface="Times New Roman" panose="02020603050405020304" pitchFamily="18" charset="0"/>
          </a:endParaRPr>
        </a:p>
        <a:p>
          <a:r>
            <a:rPr lang="en-US" sz="1400">
              <a:solidFill>
                <a:schemeClr val="accent2">
                  <a:lumMod val="75000"/>
                </a:schemeClr>
              </a:solidFill>
              <a:latin typeface="Times New Roman" panose="02020603050405020304" pitchFamily="18" charset="0"/>
              <a:cs typeface="Times New Roman" panose="02020603050405020304" pitchFamily="18" charset="0"/>
            </a:rPr>
            <a:t>1. Pentru a</a:t>
          </a:r>
          <a:r>
            <a:rPr lang="en-US" sz="1400" baseline="0">
              <a:solidFill>
                <a:schemeClr val="accent2">
                  <a:lumMod val="75000"/>
                </a:schemeClr>
              </a:solidFill>
              <a:latin typeface="Times New Roman" panose="02020603050405020304" pitchFamily="18" charset="0"/>
              <a:cs typeface="Times New Roman" panose="02020603050405020304" pitchFamily="18" charset="0"/>
            </a:rPr>
            <a:t> forma un proces verbal accesati meniul Proces Verbal din meniul principal Excel</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2. Pentru inceput (nu este obligatoriu) apasa butonul Reimprospateaza</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3. Accesaza submeniul Proces Verbal si alege din lista Echipa echipa necesara</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4. Alege din lista Tip Lucrare tipul lucrarii indeplinite</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5. Apasa butonul AddProcesVerbalNou pentru a crea un Proces Verbal nou</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6. Apasa butonul AddFormularNorma pentru a adauga in Proces verbal nou creat compartimentul Norma</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7. Apasa butonul AddFormularTransport pentru a adauga in acest Proces Verbal compartimentul Transport</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8. Butoanele AddObiectPV, AddNormaPV, AddMaterialePV, AddUtilajPV, AddTransportPV la apasarea lor vor da posibilitate utilizatorului sa introduca din baza de date in Proces Verbal obiecte, norme, materiale, utilaj, transport cu posibilitatea filtrarii datelor, alegerea rindului din procesului verbal unde sa se copie datele.</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9. Butoanele AddNormaBD, AddMaterialeBD, AddUtilajBD, AddTransportBD, AddListeBD da posibilitate utilizatorului de a accesa baza de date pentru redactare sau completare.</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10. Butoanele FormularPV, FormularFise da posibilitate utilizatorului sa redacteze/modifice modelul Procesului Verbal sau a Fisei.</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11. Butonul CalcMateriale permite utilizatorului sa verifice toate materialele utilizate in toate Procesele Verbale indeplinite, cantitatea lor si daca depasesc cantitatea din stoc, se mai calculeaza si numarul de ore lucrate (manopera)</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12. Butonul FormeazaFisa va analiza toate Procesele Verbale indeplinite si va genera conform lor Fise.</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13. Butonul Reimprospateaza va reseta lista cu Echipa, Tip lucrare, va sterge toate Fisele generate anterior le va genera din nou, va sterge din foaia CalculMateriale toate materialele si manopera si le va genera actualizate.</a:t>
          </a:r>
        </a:p>
        <a:p>
          <a:r>
            <a:rPr lang="en-US" sz="1400" baseline="0">
              <a:solidFill>
                <a:schemeClr val="accent2">
                  <a:lumMod val="75000"/>
                </a:schemeClr>
              </a:solidFill>
              <a:latin typeface="Times New Roman" panose="02020603050405020304" pitchFamily="18" charset="0"/>
              <a:cs typeface="Times New Roman" panose="02020603050405020304" pitchFamily="18" charset="0"/>
            </a:rPr>
            <a:t>14. Butonul StergePVFise va sterge toate Procesele Verbale si Fisile din document pregatind documentul pentru utilizare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662609</xdr:colOff>
      <xdr:row>0</xdr:row>
      <xdr:rowOff>123134</xdr:rowOff>
    </xdr:from>
    <xdr:to>
      <xdr:col>6</xdr:col>
      <xdr:colOff>579168</xdr:colOff>
      <xdr:row>9</xdr:row>
      <xdr:rowOff>5521</xdr:rowOff>
    </xdr:to>
    <xdr:sp macro="" textlink="">
      <xdr:nvSpPr>
        <xdr:cNvPr id="2" name="TextBox 1">
          <a:extLst>
            <a:ext uri="{FF2B5EF4-FFF2-40B4-BE49-F238E27FC236}">
              <a16:creationId xmlns:a16="http://schemas.microsoft.com/office/drawing/2014/main" id="{2E2B337F-447C-49B6-91BC-ED65D239B17A}"/>
            </a:ext>
          </a:extLst>
        </xdr:cNvPr>
        <xdr:cNvSpPr txBox="1"/>
      </xdr:nvSpPr>
      <xdr:spPr>
        <a:xfrm>
          <a:off x="2040559" y="123134"/>
          <a:ext cx="4964809" cy="1539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n-US" sz="800" b="0" i="0" u="none" strike="noStrike">
              <a:solidFill>
                <a:schemeClr val="dk1"/>
              </a:solidFill>
              <a:effectLst/>
              <a:latin typeface="+mn-lt"/>
              <a:ea typeface="+mn-ea"/>
              <a:cs typeface="+mn-cs"/>
            </a:rPr>
            <a:t>Formular DL-PVLRI, Anexa nr. </a:t>
          </a:r>
          <a:r>
            <a:rPr lang="ro-RO" sz="800" b="0" i="0" u="none" strike="noStrike">
              <a:solidFill>
                <a:schemeClr val="dk1"/>
              </a:solidFill>
              <a:effectLst/>
              <a:latin typeface="+mn-lt"/>
              <a:ea typeface="+mn-ea"/>
              <a:cs typeface="+mn-cs"/>
            </a:rPr>
            <a:t>1</a:t>
          </a:r>
          <a:r>
            <a:rPr lang="en-US" sz="800" b="0" i="0" u="none" strike="noStrike">
              <a:solidFill>
                <a:schemeClr val="dk1"/>
              </a:solidFill>
              <a:effectLst/>
              <a:latin typeface="+mn-lt"/>
              <a:ea typeface="+mn-ea"/>
              <a:cs typeface="+mn-cs"/>
            </a:rPr>
            <a:t>1</a:t>
          </a:r>
          <a:r>
            <a:rPr lang="ro-RO" sz="800" b="0" i="0" u="none" strike="noStrike">
              <a:solidFill>
                <a:schemeClr val="dk1"/>
              </a:solidFill>
              <a:effectLst/>
              <a:latin typeface="+mn-lt"/>
              <a:ea typeface="+mn-ea"/>
              <a:cs typeface="+mn-cs"/>
            </a:rPr>
            <a:t> </a:t>
          </a:r>
          <a:r>
            <a:rPr lang="en-US" sz="800" b="0" i="0" u="none" strike="noStrike">
              <a:solidFill>
                <a:schemeClr val="dk1"/>
              </a:solidFill>
              <a:effectLst/>
              <a:latin typeface="+mn-lt"/>
              <a:ea typeface="+mn-ea"/>
              <a:cs typeface="+mn-cs"/>
            </a:rPr>
            <a:t>la Ordinul nr. ____</a:t>
          </a:r>
          <a:r>
            <a:rPr lang="en-US" sz="800">
              <a:latin typeface="+mn-lt"/>
            </a:rPr>
            <a:t> </a:t>
          </a:r>
          <a:r>
            <a:rPr lang="ro-RO" sz="800">
              <a:latin typeface="+mn-lt"/>
            </a:rPr>
            <a:t> </a:t>
          </a:r>
          <a:r>
            <a:rPr lang="en-US" sz="800" b="0" i="0" u="none" strike="noStrike">
              <a:solidFill>
                <a:schemeClr val="dk1"/>
              </a:solidFill>
              <a:effectLst/>
              <a:latin typeface="+mn-lt"/>
              <a:ea typeface="+mn-ea"/>
              <a:cs typeface="+mn-cs"/>
            </a:rPr>
            <a:t>din _________.20</a:t>
          </a:r>
          <a:r>
            <a:rPr lang="ro-RO" sz="800" b="0" i="0" u="none" strike="noStrike">
              <a:solidFill>
                <a:schemeClr val="dk1"/>
              </a:solidFill>
              <a:effectLst/>
              <a:latin typeface="+mn-lt"/>
              <a:ea typeface="+mn-ea"/>
              <a:cs typeface="+mn-cs"/>
            </a:rPr>
            <a:t>20</a:t>
          </a:r>
          <a:r>
            <a:rPr lang="en-US" sz="800" b="0" i="0" u="none" strike="noStrike">
              <a:solidFill>
                <a:schemeClr val="dk1"/>
              </a:solidFill>
              <a:effectLst/>
              <a:latin typeface="+mn-lt"/>
              <a:ea typeface="+mn-ea"/>
              <a:cs typeface="+mn-cs"/>
            </a:rPr>
            <a:t> al S.A. „Apă-Canal Chișinău”</a:t>
          </a:r>
          <a:endParaRPr lang="ro-RO" sz="800" b="0" i="0" u="none" strike="noStrike">
            <a:solidFill>
              <a:schemeClr val="dk1"/>
            </a:solidFill>
            <a:effectLst/>
            <a:latin typeface="+mn-lt"/>
            <a:ea typeface="+mn-ea"/>
            <a:cs typeface="+mn-cs"/>
          </a:endParaRPr>
        </a:p>
        <a:p>
          <a:r>
            <a:rPr lang="en-US" sz="800" b="0" i="1" u="none" strike="noStrike">
              <a:solidFill>
                <a:schemeClr val="dk1"/>
              </a:solidFill>
              <a:effectLst/>
              <a:latin typeface="+mn-lt"/>
              <a:ea typeface="+mn-ea"/>
              <a:cs typeface="+mn-cs"/>
            </a:rPr>
            <a:t>(în baza formularului interdepartamental tipizat nr. C2n, aprobat prin ordinul nr 3/5 din 15 ianuarie 2002 al Departamentului de Stat de Statistică al Republicii Moldova</a:t>
          </a:r>
          <a:r>
            <a:rPr lang="ro-RO" sz="800" b="0" i="1" u="none" strike="noStrike" baseline="0">
              <a:solidFill>
                <a:schemeClr val="dk1"/>
              </a:solidFill>
              <a:effectLst/>
              <a:latin typeface="+mn-lt"/>
              <a:ea typeface="+mn-ea"/>
              <a:cs typeface="+mn-cs"/>
            </a:rPr>
            <a:t>, cu detalierea resurselor, fără calculul beneficiului și a TVA</a:t>
          </a:r>
          <a:r>
            <a:rPr lang="en-US" sz="800" b="0" i="1" u="none" strike="noStrike">
              <a:solidFill>
                <a:schemeClr val="dk1"/>
              </a:solidFill>
              <a:effectLst/>
              <a:latin typeface="+mn-lt"/>
              <a:ea typeface="+mn-ea"/>
              <a:cs typeface="+mn-cs"/>
            </a:rPr>
            <a:t>)</a:t>
          </a:r>
        </a:p>
        <a:p>
          <a:endParaRPr lang="en-US" sz="800" b="0" i="1" u="none" strike="noStrike">
            <a:solidFill>
              <a:schemeClr val="dk1"/>
            </a:solidFill>
            <a:effectLst/>
            <a:latin typeface="+mn-lt"/>
            <a:ea typeface="+mn-ea"/>
            <a:cs typeface="+mn-cs"/>
          </a:endParaRPr>
        </a:p>
        <a:p>
          <a:pPr lvl="5"/>
          <a:r>
            <a:rPr lang="en-US" sz="800">
              <a:latin typeface="+mn-lt"/>
            </a:rPr>
            <a:t>	</a:t>
          </a:r>
          <a:r>
            <a:rPr lang="en-US" sz="800" baseline="0">
              <a:latin typeface="+mn-lt"/>
            </a:rPr>
            <a:t>      </a:t>
          </a:r>
          <a:r>
            <a:rPr lang="en-US" sz="800">
              <a:latin typeface="+mn-lt"/>
            </a:rPr>
            <a:t>APROBAT:</a:t>
          </a:r>
        </a:p>
        <a:p>
          <a:pPr lvl="5"/>
          <a:r>
            <a:rPr lang="en-US" sz="800">
              <a:latin typeface="+mn-lt"/>
            </a:rPr>
            <a:t>	      Director </a:t>
          </a:r>
          <a:r>
            <a:rPr lang="ro-RO" sz="800">
              <a:latin typeface="+mn-lt"/>
            </a:rPr>
            <a:t>tehnic </a:t>
          </a:r>
          <a:endParaRPr lang="en-US" sz="800">
            <a:latin typeface="+mn-lt"/>
          </a:endParaRPr>
        </a:p>
        <a:p>
          <a:pPr lvl="5"/>
          <a:r>
            <a:rPr lang="en-US" sz="800">
              <a:latin typeface="+mn-lt"/>
            </a:rPr>
            <a:t>	      </a:t>
          </a:r>
          <a:r>
            <a:rPr lang="ro-RO" sz="800">
              <a:latin typeface="+mn-lt"/>
            </a:rPr>
            <a:t>Anatolie Lichii</a:t>
          </a:r>
          <a:endParaRPr lang="en-US" sz="800">
            <a:latin typeface="+mn-lt"/>
          </a:endParaRPr>
        </a:p>
        <a:p>
          <a:pPr lvl="5"/>
          <a:endParaRPr lang="en-US" sz="800">
            <a:latin typeface="+mn-lt"/>
          </a:endParaRPr>
        </a:p>
        <a:p>
          <a:pPr lvl="5"/>
          <a:r>
            <a:rPr lang="en-US" sz="800">
              <a:latin typeface="+mn-lt"/>
            </a:rPr>
            <a:t>	      _________________________</a:t>
          </a:r>
        </a:p>
        <a:p>
          <a:pPr lvl="5"/>
          <a:r>
            <a:rPr lang="en-US" sz="800" i="1">
              <a:latin typeface="+mn-lt"/>
            </a:rPr>
            <a:t>  	      (prenume și nume, semnătura)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B252"/>
  <sheetViews>
    <sheetView workbookViewId="0">
      <selection activeCell="G28" sqref="G28"/>
    </sheetView>
  </sheetViews>
  <sheetFormatPr defaultColWidth="8.7265625" defaultRowHeight="13" x14ac:dyDescent="0.35"/>
  <cols>
    <col min="1" max="1" width="9" style="3" bestFit="1" customWidth="1"/>
    <col min="2" max="2" width="146.6328125" style="3" bestFit="1" customWidth="1"/>
    <col min="3" max="16384" width="8.7265625" style="3"/>
  </cols>
  <sheetData>
    <row r="1" spans="1:2" x14ac:dyDescent="0.35">
      <c r="A1" s="1" t="s">
        <v>75</v>
      </c>
      <c r="B1" s="1" t="s">
        <v>76</v>
      </c>
    </row>
    <row r="2" spans="1:2" ht="14.5" x14ac:dyDescent="0.35">
      <c r="A2">
        <v>20006800</v>
      </c>
      <c r="B2" t="s">
        <v>204</v>
      </c>
    </row>
    <row r="3" spans="1:2" ht="14.5" x14ac:dyDescent="0.35">
      <c r="A3">
        <v>20039400</v>
      </c>
      <c r="B3" t="s">
        <v>205</v>
      </c>
    </row>
    <row r="4" spans="1:2" ht="14.5" x14ac:dyDescent="0.35">
      <c r="A4">
        <v>41320695</v>
      </c>
      <c r="B4" t="s">
        <v>206</v>
      </c>
    </row>
    <row r="5" spans="1:2" ht="14.5" x14ac:dyDescent="0.35">
      <c r="A5">
        <v>45653600</v>
      </c>
      <c r="B5" t="s">
        <v>207</v>
      </c>
    </row>
    <row r="6" spans="1:2" ht="14.5" x14ac:dyDescent="0.35">
      <c r="A6">
        <v>45653700</v>
      </c>
      <c r="B6" t="s">
        <v>208</v>
      </c>
    </row>
    <row r="7" spans="1:2" ht="14.5" x14ac:dyDescent="0.35">
      <c r="A7">
        <v>20009200</v>
      </c>
      <c r="B7" t="s">
        <v>209</v>
      </c>
    </row>
    <row r="8" spans="1:2" ht="14.5" x14ac:dyDescent="0.35">
      <c r="A8">
        <v>20010900</v>
      </c>
      <c r="B8" t="s">
        <v>210</v>
      </c>
    </row>
    <row r="9" spans="1:2" ht="14.5" x14ac:dyDescent="0.35">
      <c r="A9">
        <v>20014800</v>
      </c>
      <c r="B9" t="s">
        <v>211</v>
      </c>
    </row>
    <row r="10" spans="1:2" ht="14.5" x14ac:dyDescent="0.35">
      <c r="A10">
        <v>20014900</v>
      </c>
      <c r="B10" t="s">
        <v>212</v>
      </c>
    </row>
    <row r="11" spans="1:2" ht="14.5" x14ac:dyDescent="0.35">
      <c r="A11">
        <v>20015000</v>
      </c>
      <c r="B11" t="s">
        <v>213</v>
      </c>
    </row>
    <row r="12" spans="1:2" ht="14.5" x14ac:dyDescent="0.35">
      <c r="A12">
        <v>20015100</v>
      </c>
      <c r="B12" t="s">
        <v>214</v>
      </c>
    </row>
    <row r="13" spans="1:2" ht="14.5" x14ac:dyDescent="0.35">
      <c r="A13">
        <v>20015200</v>
      </c>
      <c r="B13" t="s">
        <v>215</v>
      </c>
    </row>
    <row r="14" spans="1:2" ht="14.5" x14ac:dyDescent="0.35">
      <c r="A14">
        <v>20015300</v>
      </c>
      <c r="B14" t="s">
        <v>216</v>
      </c>
    </row>
    <row r="15" spans="1:2" ht="14.5" x14ac:dyDescent="0.35">
      <c r="A15">
        <v>20015400</v>
      </c>
      <c r="B15" t="s">
        <v>217</v>
      </c>
    </row>
    <row r="16" spans="1:2" ht="14.5" x14ac:dyDescent="0.35">
      <c r="A16">
        <v>20015500</v>
      </c>
      <c r="B16" t="s">
        <v>218</v>
      </c>
    </row>
    <row r="17" spans="1:2" ht="14.5" x14ac:dyDescent="0.35">
      <c r="A17">
        <v>20015600</v>
      </c>
      <c r="B17" t="s">
        <v>219</v>
      </c>
    </row>
    <row r="18" spans="1:2" ht="14.5" x14ac:dyDescent="0.35">
      <c r="A18">
        <v>20015800</v>
      </c>
      <c r="B18" t="s">
        <v>220</v>
      </c>
    </row>
    <row r="19" spans="1:2" ht="14.5" x14ac:dyDescent="0.35">
      <c r="A19">
        <v>20021400</v>
      </c>
      <c r="B19" t="s">
        <v>221</v>
      </c>
    </row>
    <row r="20" spans="1:2" ht="14.5" x14ac:dyDescent="0.35">
      <c r="A20">
        <v>20038800</v>
      </c>
      <c r="B20" t="s">
        <v>222</v>
      </c>
    </row>
    <row r="21" spans="1:2" ht="14.5" x14ac:dyDescent="0.35">
      <c r="A21">
        <v>20038900</v>
      </c>
      <c r="B21" t="s">
        <v>223</v>
      </c>
    </row>
    <row r="22" spans="1:2" ht="14.5" x14ac:dyDescent="0.35">
      <c r="A22">
        <v>45538800</v>
      </c>
      <c r="B22" t="s">
        <v>224</v>
      </c>
    </row>
    <row r="23" spans="1:2" ht="14.5" x14ac:dyDescent="0.35">
      <c r="A23">
        <v>45538900</v>
      </c>
      <c r="B23" t="s">
        <v>225</v>
      </c>
    </row>
    <row r="24" spans="1:2" ht="14.5" x14ac:dyDescent="0.35">
      <c r="A24">
        <v>42788600</v>
      </c>
      <c r="B24" t="s">
        <v>226</v>
      </c>
    </row>
    <row r="25" spans="1:2" ht="14.5" x14ac:dyDescent="0.35">
      <c r="A25">
        <v>45536500</v>
      </c>
      <c r="B25" t="s">
        <v>227</v>
      </c>
    </row>
    <row r="26" spans="1:2" ht="14.5" x14ac:dyDescent="0.35">
      <c r="A26">
        <v>42502000</v>
      </c>
      <c r="B26" t="s">
        <v>228</v>
      </c>
    </row>
    <row r="27" spans="1:2" ht="14.5" x14ac:dyDescent="0.35">
      <c r="A27">
        <v>42502100</v>
      </c>
      <c r="B27" t="s">
        <v>229</v>
      </c>
    </row>
    <row r="28" spans="1:2" ht="14.5" x14ac:dyDescent="0.35">
      <c r="A28">
        <v>42502200</v>
      </c>
      <c r="B28" t="s">
        <v>230</v>
      </c>
    </row>
    <row r="29" spans="1:2" ht="14.5" x14ac:dyDescent="0.35">
      <c r="A29">
        <v>42506200</v>
      </c>
      <c r="B29" t="s">
        <v>231</v>
      </c>
    </row>
    <row r="30" spans="1:2" ht="14.5" x14ac:dyDescent="0.35">
      <c r="A30">
        <v>42660000</v>
      </c>
      <c r="B30" t="s">
        <v>232</v>
      </c>
    </row>
    <row r="31" spans="1:2" ht="14.5" x14ac:dyDescent="0.35">
      <c r="A31">
        <v>42660400</v>
      </c>
      <c r="B31" t="s">
        <v>233</v>
      </c>
    </row>
    <row r="32" spans="1:2" ht="14.5" x14ac:dyDescent="0.35">
      <c r="A32">
        <v>42665800</v>
      </c>
      <c r="B32" t="s">
        <v>234</v>
      </c>
    </row>
    <row r="33" spans="1:2" ht="14.5" x14ac:dyDescent="0.35">
      <c r="A33">
        <v>43291000</v>
      </c>
      <c r="B33" t="s">
        <v>235</v>
      </c>
    </row>
    <row r="34" spans="1:2" ht="14.5" x14ac:dyDescent="0.35">
      <c r="A34">
        <v>43291100</v>
      </c>
      <c r="B34" t="s">
        <v>236</v>
      </c>
    </row>
    <row r="35" spans="1:2" ht="14.5" x14ac:dyDescent="0.35">
      <c r="A35">
        <v>43292600</v>
      </c>
      <c r="B35" t="s">
        <v>237</v>
      </c>
    </row>
    <row r="36" spans="1:2" ht="14.5" x14ac:dyDescent="0.35">
      <c r="A36">
        <v>43294200</v>
      </c>
      <c r="B36" t="s">
        <v>238</v>
      </c>
    </row>
    <row r="37" spans="1:2" ht="14.5" x14ac:dyDescent="0.35">
      <c r="A37">
        <v>20122600</v>
      </c>
      <c r="B37" t="s">
        <v>239</v>
      </c>
    </row>
    <row r="38" spans="1:2" ht="14.5" x14ac:dyDescent="0.35">
      <c r="A38">
        <v>20122700</v>
      </c>
      <c r="B38" t="s">
        <v>240</v>
      </c>
    </row>
    <row r="39" spans="1:2" ht="14.5" x14ac:dyDescent="0.35">
      <c r="A39">
        <v>20142200</v>
      </c>
      <c r="B39" t="s">
        <v>241</v>
      </c>
    </row>
    <row r="40" spans="1:2" ht="14.5" x14ac:dyDescent="0.35">
      <c r="A40">
        <v>20122900</v>
      </c>
      <c r="B40" t="s">
        <v>242</v>
      </c>
    </row>
    <row r="41" spans="1:2" ht="14.5" x14ac:dyDescent="0.35">
      <c r="A41">
        <v>20142300</v>
      </c>
      <c r="B41" t="s">
        <v>243</v>
      </c>
    </row>
    <row r="42" spans="1:2" ht="14.5" x14ac:dyDescent="0.35">
      <c r="A42">
        <v>20142500</v>
      </c>
      <c r="B42" t="s">
        <v>244</v>
      </c>
    </row>
    <row r="43" spans="1:2" ht="14.5" x14ac:dyDescent="0.35">
      <c r="A43">
        <v>43286091</v>
      </c>
      <c r="B43" t="s">
        <v>245</v>
      </c>
    </row>
    <row r="44" spans="1:2" ht="14.5" x14ac:dyDescent="0.35">
      <c r="A44">
        <v>43290400</v>
      </c>
      <c r="B44" t="s">
        <v>246</v>
      </c>
    </row>
    <row r="45" spans="1:2" ht="14.5" x14ac:dyDescent="0.35">
      <c r="A45">
        <v>43290500</v>
      </c>
      <c r="B45" t="s">
        <v>247</v>
      </c>
    </row>
    <row r="46" spans="1:2" ht="14.5" x14ac:dyDescent="0.35">
      <c r="A46">
        <v>43299900</v>
      </c>
      <c r="B46" t="s">
        <v>248</v>
      </c>
    </row>
    <row r="47" spans="1:2" ht="14.5" x14ac:dyDescent="0.35">
      <c r="A47">
        <v>30779400</v>
      </c>
      <c r="B47" t="s">
        <v>249</v>
      </c>
    </row>
    <row r="48" spans="1:2" ht="14.5" x14ac:dyDescent="0.35">
      <c r="A48">
        <v>41297900</v>
      </c>
      <c r="B48" t="s">
        <v>250</v>
      </c>
    </row>
    <row r="49" spans="1:2" ht="14.5" x14ac:dyDescent="0.35">
      <c r="A49">
        <v>20122000</v>
      </c>
      <c r="B49" t="s">
        <v>251</v>
      </c>
    </row>
    <row r="50" spans="1:2" ht="14.5" x14ac:dyDescent="0.35">
      <c r="A50">
        <v>42661400</v>
      </c>
      <c r="B50" t="s">
        <v>252</v>
      </c>
    </row>
    <row r="51" spans="1:2" ht="14.5" x14ac:dyDescent="0.35">
      <c r="A51">
        <v>42678200</v>
      </c>
      <c r="B51" t="s">
        <v>253</v>
      </c>
    </row>
    <row r="52" spans="1:2" ht="14.5" x14ac:dyDescent="0.35">
      <c r="A52">
        <v>43300000</v>
      </c>
      <c r="B52" t="s">
        <v>254</v>
      </c>
    </row>
    <row r="53" spans="1:2" ht="14.5" x14ac:dyDescent="0.35">
      <c r="A53">
        <v>20135700</v>
      </c>
      <c r="B53" t="s">
        <v>255</v>
      </c>
    </row>
    <row r="54" spans="1:2" ht="14.5" x14ac:dyDescent="0.35">
      <c r="A54">
        <v>20124600</v>
      </c>
      <c r="B54" t="s">
        <v>256</v>
      </c>
    </row>
    <row r="55" spans="1:2" ht="14.5" x14ac:dyDescent="0.35">
      <c r="A55">
        <v>20136100</v>
      </c>
      <c r="B55" t="s">
        <v>257</v>
      </c>
    </row>
    <row r="56" spans="1:2" ht="14.5" x14ac:dyDescent="0.35">
      <c r="A56">
        <v>20136400</v>
      </c>
      <c r="B56" t="s">
        <v>258</v>
      </c>
    </row>
    <row r="57" spans="1:2" ht="14.5" x14ac:dyDescent="0.35">
      <c r="A57">
        <v>20136600</v>
      </c>
      <c r="B57" t="s">
        <v>259</v>
      </c>
    </row>
    <row r="58" spans="1:2" ht="14.5" x14ac:dyDescent="0.35">
      <c r="A58">
        <v>20136800</v>
      </c>
      <c r="B58" t="s">
        <v>260</v>
      </c>
    </row>
    <row r="59" spans="1:2" ht="14.5" x14ac:dyDescent="0.35">
      <c r="A59">
        <v>20137000</v>
      </c>
      <c r="B59" t="s">
        <v>261</v>
      </c>
    </row>
    <row r="60" spans="1:2" ht="14.5" x14ac:dyDescent="0.35">
      <c r="A60">
        <v>20138900</v>
      </c>
      <c r="B60" t="s">
        <v>262</v>
      </c>
    </row>
    <row r="61" spans="1:2" ht="14.5" x14ac:dyDescent="0.35">
      <c r="A61">
        <v>42640691</v>
      </c>
      <c r="B61" t="s">
        <v>263</v>
      </c>
    </row>
    <row r="62" spans="1:2" ht="14.5" x14ac:dyDescent="0.35">
      <c r="A62">
        <v>42640791</v>
      </c>
      <c r="B62" t="s">
        <v>264</v>
      </c>
    </row>
    <row r="63" spans="1:2" ht="14.5" x14ac:dyDescent="0.35">
      <c r="A63">
        <v>42641000</v>
      </c>
      <c r="B63" t="s">
        <v>265</v>
      </c>
    </row>
    <row r="64" spans="1:2" ht="14.5" x14ac:dyDescent="0.35">
      <c r="A64">
        <v>42643491</v>
      </c>
      <c r="B64" t="s">
        <v>266</v>
      </c>
    </row>
    <row r="65" spans="1:2" ht="14.5" x14ac:dyDescent="0.35">
      <c r="A65">
        <v>42651600</v>
      </c>
      <c r="B65" t="s">
        <v>267</v>
      </c>
    </row>
    <row r="66" spans="1:2" ht="14.5" x14ac:dyDescent="0.35">
      <c r="A66">
        <v>42653200</v>
      </c>
      <c r="B66" t="s">
        <v>268</v>
      </c>
    </row>
    <row r="67" spans="1:2" ht="14.5" x14ac:dyDescent="0.35">
      <c r="A67">
        <v>42661200</v>
      </c>
      <c r="B67" t="s">
        <v>269</v>
      </c>
    </row>
    <row r="68" spans="1:2" ht="14.5" x14ac:dyDescent="0.35">
      <c r="A68">
        <v>42666400</v>
      </c>
      <c r="B68" t="s">
        <v>270</v>
      </c>
    </row>
    <row r="69" spans="1:2" ht="14.5" x14ac:dyDescent="0.35">
      <c r="A69">
        <v>42666700</v>
      </c>
      <c r="B69" t="s">
        <v>271</v>
      </c>
    </row>
    <row r="70" spans="1:2" ht="14.5" x14ac:dyDescent="0.35">
      <c r="A70">
        <v>30142801</v>
      </c>
      <c r="B70" t="s">
        <v>272</v>
      </c>
    </row>
    <row r="71" spans="1:2" ht="14.5" x14ac:dyDescent="0.35">
      <c r="A71">
        <v>30472200</v>
      </c>
      <c r="B71" t="s">
        <v>273</v>
      </c>
    </row>
    <row r="72" spans="1:2" ht="14.5" x14ac:dyDescent="0.35">
      <c r="A72">
        <v>20136900</v>
      </c>
      <c r="B72" t="s">
        <v>274</v>
      </c>
    </row>
    <row r="73" spans="1:2" ht="14.5" x14ac:dyDescent="0.35">
      <c r="A73">
        <v>43312700</v>
      </c>
      <c r="B73" t="s">
        <v>275</v>
      </c>
    </row>
    <row r="74" spans="1:2" ht="14.5" x14ac:dyDescent="0.35">
      <c r="A74">
        <v>20119400</v>
      </c>
      <c r="B74" t="s">
        <v>276</v>
      </c>
    </row>
    <row r="75" spans="1:2" ht="14.5" x14ac:dyDescent="0.35">
      <c r="A75">
        <v>20119600</v>
      </c>
      <c r="B75" t="s">
        <v>277</v>
      </c>
    </row>
    <row r="76" spans="1:2" ht="14.5" x14ac:dyDescent="0.35">
      <c r="A76">
        <v>20119800</v>
      </c>
      <c r="B76" t="s">
        <v>278</v>
      </c>
    </row>
    <row r="77" spans="1:2" ht="14.5" x14ac:dyDescent="0.35">
      <c r="A77">
        <v>20119900</v>
      </c>
      <c r="B77" t="s">
        <v>279</v>
      </c>
    </row>
    <row r="78" spans="1:2" ht="14.5" x14ac:dyDescent="0.35">
      <c r="A78">
        <v>20120000</v>
      </c>
      <c r="B78" t="s">
        <v>280</v>
      </c>
    </row>
    <row r="79" spans="1:2" ht="14.5" x14ac:dyDescent="0.35">
      <c r="A79">
        <v>20120100</v>
      </c>
      <c r="B79" t="s">
        <v>281</v>
      </c>
    </row>
    <row r="80" spans="1:2" ht="14.5" x14ac:dyDescent="0.35">
      <c r="A80">
        <v>20121400</v>
      </c>
      <c r="B80" t="s">
        <v>282</v>
      </c>
    </row>
    <row r="81" spans="1:2" ht="14.5" x14ac:dyDescent="0.35">
      <c r="A81">
        <v>42475800</v>
      </c>
      <c r="B81" t="s">
        <v>283</v>
      </c>
    </row>
    <row r="82" spans="1:2" ht="14.5" x14ac:dyDescent="0.35">
      <c r="A82">
        <v>30009500</v>
      </c>
      <c r="B82" t="s">
        <v>284</v>
      </c>
    </row>
    <row r="83" spans="1:2" ht="14.5" x14ac:dyDescent="0.35">
      <c r="A83">
        <v>30039800</v>
      </c>
      <c r="B83" t="s">
        <v>285</v>
      </c>
    </row>
    <row r="84" spans="1:2" ht="14.5" x14ac:dyDescent="0.35">
      <c r="A84">
        <v>30102500</v>
      </c>
      <c r="B84" t="s">
        <v>286</v>
      </c>
    </row>
    <row r="85" spans="1:2" ht="14.5" x14ac:dyDescent="0.35">
      <c r="A85">
        <v>30102600</v>
      </c>
      <c r="B85" t="s">
        <v>287</v>
      </c>
    </row>
    <row r="86" spans="1:2" ht="14.5" x14ac:dyDescent="0.35">
      <c r="A86">
        <v>30102700</v>
      </c>
      <c r="B86" t="s">
        <v>288</v>
      </c>
    </row>
    <row r="87" spans="1:2" ht="14.5" x14ac:dyDescent="0.35">
      <c r="A87">
        <v>30102800</v>
      </c>
      <c r="B87" t="s">
        <v>289</v>
      </c>
    </row>
    <row r="88" spans="1:2" ht="14.5" x14ac:dyDescent="0.35">
      <c r="A88">
        <v>30103000</v>
      </c>
      <c r="B88" t="s">
        <v>290</v>
      </c>
    </row>
    <row r="89" spans="1:2" ht="14.5" x14ac:dyDescent="0.35">
      <c r="A89">
        <v>20106000</v>
      </c>
      <c r="B89" t="s">
        <v>291</v>
      </c>
    </row>
    <row r="90" spans="1:2" ht="14.5" x14ac:dyDescent="0.35">
      <c r="A90">
        <v>30009300</v>
      </c>
      <c r="B90" t="s">
        <v>292</v>
      </c>
    </row>
    <row r="91" spans="1:2" ht="14.5" x14ac:dyDescent="0.35">
      <c r="A91">
        <v>30143701</v>
      </c>
      <c r="B91" t="s">
        <v>293</v>
      </c>
    </row>
    <row r="92" spans="1:2" ht="14.5" x14ac:dyDescent="0.35">
      <c r="A92">
        <v>30699300</v>
      </c>
      <c r="B92" t="s">
        <v>294</v>
      </c>
    </row>
    <row r="93" spans="1:2" ht="14.5" x14ac:dyDescent="0.35">
      <c r="A93">
        <v>30699400</v>
      </c>
      <c r="B93" t="s">
        <v>295</v>
      </c>
    </row>
    <row r="94" spans="1:2" ht="14.5" x14ac:dyDescent="0.35">
      <c r="A94">
        <v>42181900</v>
      </c>
      <c r="B94" t="s">
        <v>296</v>
      </c>
    </row>
    <row r="95" spans="1:2" ht="14.5" x14ac:dyDescent="0.35">
      <c r="A95">
        <v>20039100</v>
      </c>
      <c r="B95" t="s">
        <v>297</v>
      </c>
    </row>
    <row r="96" spans="1:2" ht="14.5" x14ac:dyDescent="0.35">
      <c r="A96">
        <v>20039200</v>
      </c>
      <c r="B96" t="s">
        <v>298</v>
      </c>
    </row>
    <row r="97" spans="1:2" ht="14.5" x14ac:dyDescent="0.35">
      <c r="A97">
        <v>42481800</v>
      </c>
      <c r="B97" t="s">
        <v>299</v>
      </c>
    </row>
    <row r="98" spans="1:2" ht="14.5" x14ac:dyDescent="0.35">
      <c r="A98">
        <v>42482100</v>
      </c>
      <c r="B98" t="s">
        <v>300</v>
      </c>
    </row>
    <row r="99" spans="1:2" ht="14.5" x14ac:dyDescent="0.35">
      <c r="A99">
        <v>42482200</v>
      </c>
      <c r="B99" t="s">
        <v>301</v>
      </c>
    </row>
    <row r="100" spans="1:2" ht="14.5" x14ac:dyDescent="0.35">
      <c r="A100">
        <v>42482300</v>
      </c>
      <c r="B100" t="s">
        <v>302</v>
      </c>
    </row>
    <row r="101" spans="1:2" ht="14.5" x14ac:dyDescent="0.35">
      <c r="A101">
        <v>42482400</v>
      </c>
      <c r="B101" t="s">
        <v>303</v>
      </c>
    </row>
    <row r="102" spans="1:2" ht="14.5" x14ac:dyDescent="0.35">
      <c r="A102">
        <v>42482500</v>
      </c>
      <c r="B102" t="s">
        <v>304</v>
      </c>
    </row>
    <row r="103" spans="1:2" ht="14.5" x14ac:dyDescent="0.35">
      <c r="A103">
        <v>42482600</v>
      </c>
      <c r="B103" t="s">
        <v>305</v>
      </c>
    </row>
    <row r="104" spans="1:2" ht="14.5" x14ac:dyDescent="0.35">
      <c r="A104">
        <v>42482700</v>
      </c>
      <c r="B104" t="s">
        <v>306</v>
      </c>
    </row>
    <row r="105" spans="1:2" ht="14.5" x14ac:dyDescent="0.35">
      <c r="A105">
        <v>42482800</v>
      </c>
      <c r="B105" t="s">
        <v>307</v>
      </c>
    </row>
    <row r="106" spans="1:2" ht="14.5" x14ac:dyDescent="0.35">
      <c r="A106">
        <v>42490700</v>
      </c>
      <c r="B106" t="s">
        <v>308</v>
      </c>
    </row>
    <row r="107" spans="1:2" ht="14.5" x14ac:dyDescent="0.35">
      <c r="A107">
        <v>42491000</v>
      </c>
      <c r="B107" t="s">
        <v>309</v>
      </c>
    </row>
    <row r="108" spans="1:2" ht="14.5" x14ac:dyDescent="0.35">
      <c r="A108">
        <v>42501900</v>
      </c>
      <c r="B108" t="s">
        <v>310</v>
      </c>
    </row>
    <row r="109" spans="1:2" ht="14.5" x14ac:dyDescent="0.35">
      <c r="A109">
        <v>30418501</v>
      </c>
      <c r="B109" t="s">
        <v>311</v>
      </c>
    </row>
    <row r="110" spans="1:2" ht="14.5" x14ac:dyDescent="0.35">
      <c r="A110">
        <v>30666700</v>
      </c>
      <c r="B110" t="s">
        <v>312</v>
      </c>
    </row>
    <row r="111" spans="1:2" ht="14.5" x14ac:dyDescent="0.35">
      <c r="A111">
        <v>10072200</v>
      </c>
      <c r="B111" t="s">
        <v>313</v>
      </c>
    </row>
    <row r="112" spans="1:2" ht="14.5" x14ac:dyDescent="0.35">
      <c r="A112">
        <v>20135600</v>
      </c>
      <c r="B112" t="s">
        <v>314</v>
      </c>
    </row>
    <row r="113" spans="1:2" ht="14.5" x14ac:dyDescent="0.35">
      <c r="A113">
        <v>20157200</v>
      </c>
      <c r="B113" t="s">
        <v>315</v>
      </c>
    </row>
    <row r="114" spans="1:2" ht="14.5" x14ac:dyDescent="0.35">
      <c r="A114">
        <v>42702800</v>
      </c>
      <c r="B114" t="s">
        <v>316</v>
      </c>
    </row>
    <row r="115" spans="1:2" ht="14.5" x14ac:dyDescent="0.35">
      <c r="A115">
        <v>42702600</v>
      </c>
      <c r="B115" t="s">
        <v>317</v>
      </c>
    </row>
    <row r="116" spans="1:2" ht="14.5" x14ac:dyDescent="0.35">
      <c r="A116">
        <v>42702700</v>
      </c>
      <c r="B116" t="s">
        <v>318</v>
      </c>
    </row>
    <row r="117" spans="1:2" ht="14.5" x14ac:dyDescent="0.35">
      <c r="A117">
        <v>42703100</v>
      </c>
      <c r="B117" t="s">
        <v>319</v>
      </c>
    </row>
    <row r="118" spans="1:2" ht="14.5" x14ac:dyDescent="0.35">
      <c r="A118">
        <v>42703000</v>
      </c>
      <c r="B118" t="s">
        <v>320</v>
      </c>
    </row>
    <row r="119" spans="1:2" ht="14.5" x14ac:dyDescent="0.35">
      <c r="A119">
        <v>42702900</v>
      </c>
      <c r="B119" t="s">
        <v>321</v>
      </c>
    </row>
    <row r="120" spans="1:2" ht="14.5" x14ac:dyDescent="0.35">
      <c r="A120">
        <v>42692700</v>
      </c>
      <c r="B120" t="s">
        <v>322</v>
      </c>
    </row>
    <row r="121" spans="1:2" ht="14.5" x14ac:dyDescent="0.35">
      <c r="A121">
        <v>41330600</v>
      </c>
      <c r="B121" t="s">
        <v>323</v>
      </c>
    </row>
    <row r="122" spans="1:2" ht="14.5" x14ac:dyDescent="0.35">
      <c r="A122">
        <v>20119500</v>
      </c>
      <c r="B122" t="s">
        <v>324</v>
      </c>
    </row>
    <row r="123" spans="1:2" ht="14.5" x14ac:dyDescent="0.35">
      <c r="A123">
        <v>20123500</v>
      </c>
      <c r="B123" t="s">
        <v>325</v>
      </c>
    </row>
    <row r="124" spans="1:2" ht="14.5" x14ac:dyDescent="0.35">
      <c r="A124">
        <v>86002300</v>
      </c>
      <c r="B124" t="s">
        <v>326</v>
      </c>
    </row>
    <row r="125" spans="1:2" ht="14.5" x14ac:dyDescent="0.35">
      <c r="A125">
        <v>20138000</v>
      </c>
      <c r="B125" t="s">
        <v>327</v>
      </c>
    </row>
    <row r="126" spans="1:2" ht="14.5" x14ac:dyDescent="0.35">
      <c r="A126">
        <v>20015700</v>
      </c>
      <c r="B126" t="s">
        <v>328</v>
      </c>
    </row>
    <row r="127" spans="1:2" ht="14.5" x14ac:dyDescent="0.35">
      <c r="A127">
        <v>20122800</v>
      </c>
      <c r="B127" t="s">
        <v>329</v>
      </c>
    </row>
    <row r="128" spans="1:2" ht="14.5" x14ac:dyDescent="0.35">
      <c r="A128">
        <v>20142400</v>
      </c>
      <c r="B128" t="s">
        <v>330</v>
      </c>
    </row>
    <row r="129" spans="1:2" ht="14.5" x14ac:dyDescent="0.35">
      <c r="A129">
        <v>43297200</v>
      </c>
      <c r="B129" t="s">
        <v>331</v>
      </c>
    </row>
    <row r="130" spans="1:2" ht="14.5" x14ac:dyDescent="0.35">
      <c r="A130">
        <v>41297800</v>
      </c>
      <c r="B130" t="s">
        <v>332</v>
      </c>
    </row>
    <row r="131" spans="1:2" ht="14.5" x14ac:dyDescent="0.35">
      <c r="A131">
        <v>20135400</v>
      </c>
      <c r="B131" t="s">
        <v>333</v>
      </c>
    </row>
    <row r="132" spans="1:2" ht="14.5" x14ac:dyDescent="0.35">
      <c r="A132">
        <v>20136500</v>
      </c>
      <c r="B132" t="s">
        <v>334</v>
      </c>
    </row>
    <row r="133" spans="1:2" ht="14.5" x14ac:dyDescent="0.35">
      <c r="A133">
        <v>42678100</v>
      </c>
      <c r="B133" t="s">
        <v>335</v>
      </c>
    </row>
    <row r="134" spans="1:2" ht="14.5" x14ac:dyDescent="0.35">
      <c r="A134">
        <v>20136000</v>
      </c>
      <c r="B134" t="s">
        <v>336</v>
      </c>
    </row>
    <row r="135" spans="1:2" ht="14.5" x14ac:dyDescent="0.35">
      <c r="A135">
        <v>10014800</v>
      </c>
      <c r="B135" t="s">
        <v>337</v>
      </c>
    </row>
    <row r="136" spans="1:2" ht="14.5" x14ac:dyDescent="0.35">
      <c r="A136">
        <v>10014900</v>
      </c>
      <c r="B136" t="s">
        <v>338</v>
      </c>
    </row>
    <row r="137" spans="1:2" ht="14.5" x14ac:dyDescent="0.35">
      <c r="A137">
        <v>10015000</v>
      </c>
      <c r="B137" t="s">
        <v>339</v>
      </c>
    </row>
    <row r="138" spans="1:2" ht="14.5" x14ac:dyDescent="0.35">
      <c r="A138">
        <v>10015100</v>
      </c>
      <c r="B138" t="s">
        <v>340</v>
      </c>
    </row>
    <row r="139" spans="1:2" ht="14.5" x14ac:dyDescent="0.35">
      <c r="A139">
        <v>10015200</v>
      </c>
      <c r="B139" t="s">
        <v>341</v>
      </c>
    </row>
    <row r="140" spans="1:2" ht="14.5" x14ac:dyDescent="0.35">
      <c r="A140">
        <v>10015300</v>
      </c>
      <c r="B140" t="s">
        <v>342</v>
      </c>
    </row>
    <row r="141" spans="1:2" ht="14.5" x14ac:dyDescent="0.35">
      <c r="A141">
        <v>10015500</v>
      </c>
      <c r="B141" t="s">
        <v>343</v>
      </c>
    </row>
    <row r="142" spans="1:2" ht="14.5" x14ac:dyDescent="0.35">
      <c r="A142">
        <v>10015600</v>
      </c>
      <c r="B142" t="s">
        <v>344</v>
      </c>
    </row>
    <row r="143" spans="1:2" ht="14.5" x14ac:dyDescent="0.35">
      <c r="A143">
        <v>10015700</v>
      </c>
      <c r="B143" t="s">
        <v>345</v>
      </c>
    </row>
    <row r="144" spans="1:2" ht="14.5" x14ac:dyDescent="0.35">
      <c r="A144">
        <v>10015800</v>
      </c>
      <c r="B144" t="s">
        <v>346</v>
      </c>
    </row>
    <row r="145" spans="1:2" ht="14.5" x14ac:dyDescent="0.35">
      <c r="A145">
        <v>10030900</v>
      </c>
      <c r="B145" t="s">
        <v>347</v>
      </c>
    </row>
    <row r="146" spans="1:2" ht="14.5" x14ac:dyDescent="0.35">
      <c r="A146">
        <v>10031000</v>
      </c>
      <c r="B146" t="s">
        <v>348</v>
      </c>
    </row>
    <row r="147" spans="1:2" ht="14.5" x14ac:dyDescent="0.35">
      <c r="A147">
        <v>10031100</v>
      </c>
      <c r="B147" t="s">
        <v>349</v>
      </c>
    </row>
    <row r="148" spans="1:2" ht="14.5" x14ac:dyDescent="0.35">
      <c r="A148">
        <v>10031200</v>
      </c>
      <c r="B148" t="s">
        <v>350</v>
      </c>
    </row>
    <row r="149" spans="1:2" ht="14.5" x14ac:dyDescent="0.35">
      <c r="A149">
        <v>10062200</v>
      </c>
      <c r="B149" t="s">
        <v>351</v>
      </c>
    </row>
    <row r="150" spans="1:2" ht="14.5" x14ac:dyDescent="0.35">
      <c r="A150">
        <v>10062300</v>
      </c>
      <c r="B150" t="s">
        <v>352</v>
      </c>
    </row>
    <row r="151" spans="1:2" ht="14.5" x14ac:dyDescent="0.35">
      <c r="A151">
        <v>10062400</v>
      </c>
      <c r="B151" t="s">
        <v>353</v>
      </c>
    </row>
    <row r="152" spans="1:2" ht="14.5" x14ac:dyDescent="0.35">
      <c r="A152">
        <v>10062600</v>
      </c>
      <c r="B152" t="s">
        <v>354</v>
      </c>
    </row>
    <row r="153" spans="1:2" ht="14.5" x14ac:dyDescent="0.35">
      <c r="A153">
        <v>10062700</v>
      </c>
      <c r="B153" t="s">
        <v>355</v>
      </c>
    </row>
    <row r="154" spans="1:2" ht="14.5" x14ac:dyDescent="0.35">
      <c r="A154">
        <v>10062800</v>
      </c>
      <c r="B154" t="s">
        <v>356</v>
      </c>
    </row>
    <row r="155" spans="1:2" ht="14.5" x14ac:dyDescent="0.35">
      <c r="A155">
        <v>10062900</v>
      </c>
      <c r="B155" t="s">
        <v>357</v>
      </c>
    </row>
    <row r="156" spans="1:2" ht="14.5" x14ac:dyDescent="0.35">
      <c r="A156">
        <v>10063100</v>
      </c>
      <c r="B156" t="s">
        <v>358</v>
      </c>
    </row>
    <row r="157" spans="1:2" ht="14.5" x14ac:dyDescent="0.35">
      <c r="A157">
        <v>20007000</v>
      </c>
      <c r="B157" t="s">
        <v>359</v>
      </c>
    </row>
    <row r="158" spans="1:2" ht="14.5" x14ac:dyDescent="0.35">
      <c r="A158">
        <v>20007100</v>
      </c>
      <c r="B158" t="s">
        <v>360</v>
      </c>
    </row>
    <row r="159" spans="1:2" ht="14.5" x14ac:dyDescent="0.35">
      <c r="A159">
        <v>10015400</v>
      </c>
      <c r="B159" t="s">
        <v>361</v>
      </c>
    </row>
    <row r="160" spans="1:2" ht="14.5" x14ac:dyDescent="0.35">
      <c r="A160">
        <v>10019700</v>
      </c>
      <c r="B160" t="s">
        <v>362</v>
      </c>
    </row>
    <row r="161" spans="1:2" ht="14.5" x14ac:dyDescent="0.35">
      <c r="A161">
        <v>10063000</v>
      </c>
      <c r="B161" t="s">
        <v>363</v>
      </c>
    </row>
    <row r="162" spans="1:2" ht="14.5" x14ac:dyDescent="0.35">
      <c r="A162">
        <v>43312800</v>
      </c>
      <c r="B162" t="s">
        <v>364</v>
      </c>
    </row>
    <row r="163" spans="1:2" ht="14.5" x14ac:dyDescent="0.35">
      <c r="A163">
        <v>20121500</v>
      </c>
      <c r="B163" t="s">
        <v>365</v>
      </c>
    </row>
    <row r="164" spans="1:2" ht="14.5" x14ac:dyDescent="0.35">
      <c r="A164">
        <v>30102400</v>
      </c>
      <c r="B164" t="s">
        <v>366</v>
      </c>
    </row>
    <row r="165" spans="1:2" ht="14.5" x14ac:dyDescent="0.35">
      <c r="A165">
        <v>42182000</v>
      </c>
      <c r="B165" t="s">
        <v>367</v>
      </c>
    </row>
    <row r="166" spans="1:2" ht="14.5" x14ac:dyDescent="0.35">
      <c r="A166">
        <v>20039000</v>
      </c>
      <c r="B166" t="s">
        <v>368</v>
      </c>
    </row>
    <row r="167" spans="1:2" ht="14.5" x14ac:dyDescent="0.35">
      <c r="A167">
        <v>30043500</v>
      </c>
      <c r="B167" t="s">
        <v>369</v>
      </c>
    </row>
    <row r="168" spans="1:2" ht="14.5" x14ac:dyDescent="0.35">
      <c r="A168">
        <v>20006700</v>
      </c>
      <c r="B168" t="s">
        <v>370</v>
      </c>
    </row>
    <row r="169" spans="1:2" ht="14.5" x14ac:dyDescent="0.35">
      <c r="A169">
        <v>20006900</v>
      </c>
      <c r="B169" t="s">
        <v>371</v>
      </c>
    </row>
    <row r="170" spans="1:2" ht="14.5" x14ac:dyDescent="0.35">
      <c r="A170">
        <v>20007400</v>
      </c>
      <c r="B170" t="s">
        <v>372</v>
      </c>
    </row>
    <row r="171" spans="1:2" ht="14.5" x14ac:dyDescent="0.35">
      <c r="A171">
        <v>20007500</v>
      </c>
      <c r="B171" t="s">
        <v>373</v>
      </c>
    </row>
    <row r="172" spans="1:2" ht="14.5" x14ac:dyDescent="0.35">
      <c r="A172">
        <v>20007600</v>
      </c>
      <c r="B172" t="s">
        <v>374</v>
      </c>
    </row>
    <row r="173" spans="1:2" ht="14.5" x14ac:dyDescent="0.35">
      <c r="A173">
        <v>42507200</v>
      </c>
      <c r="B173" t="s">
        <v>375</v>
      </c>
    </row>
    <row r="174" spans="1:2" ht="14.5" x14ac:dyDescent="0.35">
      <c r="A174">
        <v>42507300</v>
      </c>
      <c r="B174" t="s">
        <v>376</v>
      </c>
    </row>
    <row r="175" spans="1:2" ht="14.5" x14ac:dyDescent="0.35">
      <c r="A175">
        <v>42507400</v>
      </c>
      <c r="B175" t="s">
        <v>377</v>
      </c>
    </row>
    <row r="176" spans="1:2" ht="14.5" x14ac:dyDescent="0.35">
      <c r="A176">
        <v>42507500</v>
      </c>
      <c r="B176" t="s">
        <v>378</v>
      </c>
    </row>
    <row r="177" spans="1:2" ht="14.5" x14ac:dyDescent="0.35">
      <c r="A177">
        <v>20136200</v>
      </c>
      <c r="B177" t="s">
        <v>379</v>
      </c>
    </row>
    <row r="178" spans="1:2" ht="14.5" x14ac:dyDescent="0.35">
      <c r="A178">
        <v>45537100</v>
      </c>
      <c r="B178" t="s">
        <v>380</v>
      </c>
    </row>
    <row r="179" spans="1:2" ht="14.5" x14ac:dyDescent="0.35">
      <c r="A179">
        <v>41273600</v>
      </c>
      <c r="B179" t="s">
        <v>381</v>
      </c>
    </row>
    <row r="180" spans="1:2" ht="14.5" x14ac:dyDescent="0.35">
      <c r="A180">
        <v>41273700</v>
      </c>
      <c r="B180" t="s">
        <v>382</v>
      </c>
    </row>
    <row r="181" spans="1:2" ht="14.5" x14ac:dyDescent="0.35">
      <c r="A181">
        <v>43286800</v>
      </c>
      <c r="B181" t="s">
        <v>383</v>
      </c>
    </row>
    <row r="182" spans="1:2" ht="14.5" x14ac:dyDescent="0.35">
      <c r="A182">
        <v>42677000</v>
      </c>
      <c r="B182" t="s">
        <v>384</v>
      </c>
    </row>
    <row r="183" spans="1:2" ht="14.5" x14ac:dyDescent="0.35">
      <c r="A183">
        <v>42680300</v>
      </c>
      <c r="B183" t="s">
        <v>385</v>
      </c>
    </row>
    <row r="184" spans="1:2" ht="14.5" x14ac:dyDescent="0.35">
      <c r="A184">
        <v>43319900</v>
      </c>
      <c r="B184" t="s">
        <v>386</v>
      </c>
    </row>
    <row r="185" spans="1:2" ht="14.5" x14ac:dyDescent="0.35">
      <c r="A185">
        <v>41292700</v>
      </c>
      <c r="B185" t="s">
        <v>387</v>
      </c>
    </row>
    <row r="186" spans="1:2" ht="14.5" x14ac:dyDescent="0.35">
      <c r="A186">
        <v>42284600</v>
      </c>
      <c r="B186" t="s">
        <v>388</v>
      </c>
    </row>
    <row r="187" spans="1:2" ht="14.5" x14ac:dyDescent="0.35">
      <c r="A187">
        <v>42419200</v>
      </c>
      <c r="B187" t="s">
        <v>389</v>
      </c>
    </row>
    <row r="188" spans="1:2" ht="14.5" x14ac:dyDescent="0.35">
      <c r="A188">
        <v>43281000</v>
      </c>
      <c r="B188" t="s">
        <v>390</v>
      </c>
    </row>
    <row r="189" spans="1:2" ht="14.5" x14ac:dyDescent="0.35">
      <c r="A189">
        <v>45530000</v>
      </c>
      <c r="B189" t="s">
        <v>391</v>
      </c>
    </row>
    <row r="190" spans="1:2" ht="14.5" x14ac:dyDescent="0.35">
      <c r="A190">
        <v>45529900</v>
      </c>
      <c r="B190" t="s">
        <v>392</v>
      </c>
    </row>
    <row r="191" spans="1:2" ht="14.5" x14ac:dyDescent="0.35">
      <c r="A191">
        <v>20015900</v>
      </c>
      <c r="B191" t="s">
        <v>393</v>
      </c>
    </row>
    <row r="192" spans="1:2" ht="14.5" x14ac:dyDescent="0.35">
      <c r="A192">
        <v>30932100</v>
      </c>
      <c r="B192" t="s">
        <v>394</v>
      </c>
    </row>
    <row r="193" spans="1:2" ht="14.5" x14ac:dyDescent="0.35">
      <c r="A193">
        <v>42775300</v>
      </c>
      <c r="B193" t="s">
        <v>395</v>
      </c>
    </row>
    <row r="194" spans="1:2" ht="14.5" x14ac:dyDescent="0.35">
      <c r="A194">
        <v>45536900</v>
      </c>
      <c r="B194" t="s">
        <v>396</v>
      </c>
    </row>
    <row r="195" spans="1:2" ht="14.5" x14ac:dyDescent="0.35">
      <c r="A195">
        <v>45537000</v>
      </c>
      <c r="B195" t="s">
        <v>397</v>
      </c>
    </row>
    <row r="196" spans="1:2" ht="14.5" x14ac:dyDescent="0.35">
      <c r="A196">
        <v>45584900</v>
      </c>
      <c r="B196" t="s">
        <v>398</v>
      </c>
    </row>
    <row r="197" spans="1:2" ht="14.5" x14ac:dyDescent="0.35">
      <c r="A197">
        <v>20093600</v>
      </c>
      <c r="B197" t="s">
        <v>399</v>
      </c>
    </row>
    <row r="198" spans="1:2" ht="14.5" x14ac:dyDescent="0.35">
      <c r="A198">
        <v>43314496</v>
      </c>
      <c r="B198" t="s">
        <v>400</v>
      </c>
    </row>
    <row r="199" spans="1:2" ht="14.5" x14ac:dyDescent="0.35">
      <c r="A199">
        <v>45621200</v>
      </c>
      <c r="B199" t="s">
        <v>401</v>
      </c>
    </row>
    <row r="200" spans="1:2" ht="14.5" x14ac:dyDescent="0.35">
      <c r="A200">
        <v>20072900</v>
      </c>
      <c r="B200" t="s">
        <v>402</v>
      </c>
    </row>
    <row r="201" spans="1:2" ht="14.5" x14ac:dyDescent="0.35">
      <c r="A201">
        <v>20073000</v>
      </c>
      <c r="B201" t="s">
        <v>403</v>
      </c>
    </row>
    <row r="202" spans="1:2" ht="14.5" x14ac:dyDescent="0.35">
      <c r="A202">
        <v>20075400</v>
      </c>
      <c r="B202" t="s">
        <v>404</v>
      </c>
    </row>
    <row r="203" spans="1:2" ht="14.5" x14ac:dyDescent="0.35">
      <c r="A203">
        <v>20075800</v>
      </c>
      <c r="B203" t="s">
        <v>405</v>
      </c>
    </row>
    <row r="204" spans="1:2" ht="14.5" x14ac:dyDescent="0.35">
      <c r="A204">
        <v>20077200</v>
      </c>
      <c r="B204" t="s">
        <v>406</v>
      </c>
    </row>
    <row r="205" spans="1:2" ht="14.5" x14ac:dyDescent="0.35">
      <c r="A205">
        <v>20078200</v>
      </c>
      <c r="B205" t="s">
        <v>407</v>
      </c>
    </row>
    <row r="206" spans="1:2" ht="14.5" x14ac:dyDescent="0.35">
      <c r="A206">
        <v>20078700</v>
      </c>
      <c r="B206" t="s">
        <v>408</v>
      </c>
    </row>
    <row r="207" spans="1:2" ht="14.5" x14ac:dyDescent="0.35">
      <c r="A207">
        <v>20079600</v>
      </c>
      <c r="B207" t="s">
        <v>409</v>
      </c>
    </row>
    <row r="208" spans="1:2" ht="14.5" x14ac:dyDescent="0.35">
      <c r="A208">
        <v>20079700</v>
      </c>
      <c r="B208" t="s">
        <v>410</v>
      </c>
    </row>
    <row r="209" spans="1:2" ht="14.5" x14ac:dyDescent="0.35">
      <c r="A209">
        <v>20080100</v>
      </c>
      <c r="B209" t="s">
        <v>411</v>
      </c>
    </row>
    <row r="210" spans="1:2" ht="14.5" x14ac:dyDescent="0.35">
      <c r="A210">
        <v>20080200</v>
      </c>
      <c r="B210" t="s">
        <v>411</v>
      </c>
    </row>
    <row r="211" spans="1:2" ht="14.5" x14ac:dyDescent="0.35">
      <c r="A211">
        <v>20080600</v>
      </c>
      <c r="B211" t="s">
        <v>412</v>
      </c>
    </row>
    <row r="212" spans="1:2" ht="14.5" x14ac:dyDescent="0.35">
      <c r="A212">
        <v>20081400</v>
      </c>
      <c r="B212" t="s">
        <v>413</v>
      </c>
    </row>
    <row r="213" spans="1:2" ht="14.5" x14ac:dyDescent="0.35">
      <c r="A213">
        <v>20082400</v>
      </c>
      <c r="B213" t="s">
        <v>414</v>
      </c>
    </row>
    <row r="214" spans="1:2" ht="14.5" x14ac:dyDescent="0.35">
      <c r="A214">
        <v>20083200</v>
      </c>
      <c r="B214" t="s">
        <v>415</v>
      </c>
    </row>
    <row r="215" spans="1:2" ht="14.5" x14ac:dyDescent="0.35">
      <c r="A215">
        <v>20083700</v>
      </c>
      <c r="B215" t="s">
        <v>416</v>
      </c>
    </row>
    <row r="216" spans="1:2" ht="14.5" x14ac:dyDescent="0.35">
      <c r="A216">
        <v>20083800</v>
      </c>
      <c r="B216" t="s">
        <v>417</v>
      </c>
    </row>
    <row r="217" spans="1:2" ht="14.5" x14ac:dyDescent="0.35">
      <c r="A217">
        <v>20084700</v>
      </c>
      <c r="B217" t="s">
        <v>418</v>
      </c>
    </row>
    <row r="218" spans="1:2" ht="14.5" x14ac:dyDescent="0.35">
      <c r="A218">
        <v>20084800</v>
      </c>
      <c r="B218" t="s">
        <v>419</v>
      </c>
    </row>
    <row r="219" spans="1:2" ht="14.5" x14ac:dyDescent="0.35">
      <c r="A219">
        <v>20086000</v>
      </c>
      <c r="B219" t="s">
        <v>420</v>
      </c>
    </row>
    <row r="220" spans="1:2" ht="14.5" x14ac:dyDescent="0.35">
      <c r="A220">
        <v>20086200</v>
      </c>
      <c r="B220" t="s">
        <v>421</v>
      </c>
    </row>
    <row r="221" spans="1:2" ht="14.5" x14ac:dyDescent="0.35">
      <c r="A221">
        <v>20086500</v>
      </c>
      <c r="B221" t="s">
        <v>422</v>
      </c>
    </row>
    <row r="222" spans="1:2" ht="14.5" x14ac:dyDescent="0.35">
      <c r="A222">
        <v>20086700</v>
      </c>
      <c r="B222" t="s">
        <v>423</v>
      </c>
    </row>
    <row r="223" spans="1:2" ht="14.5" x14ac:dyDescent="0.35">
      <c r="A223">
        <v>20087900</v>
      </c>
      <c r="B223" t="s">
        <v>424</v>
      </c>
    </row>
    <row r="224" spans="1:2" ht="14.5" x14ac:dyDescent="0.35">
      <c r="A224">
        <v>20088000</v>
      </c>
      <c r="B224" t="s">
        <v>425</v>
      </c>
    </row>
    <row r="225" spans="1:2" ht="14.5" x14ac:dyDescent="0.35">
      <c r="A225">
        <v>20078100</v>
      </c>
      <c r="B225" t="s">
        <v>426</v>
      </c>
    </row>
    <row r="226" spans="1:2" ht="14.5" x14ac:dyDescent="0.35">
      <c r="A226">
        <v>20079900</v>
      </c>
      <c r="B226" t="s">
        <v>427</v>
      </c>
    </row>
    <row r="227" spans="1:2" ht="14.5" x14ac:dyDescent="0.35">
      <c r="A227">
        <v>20080700</v>
      </c>
      <c r="B227" t="s">
        <v>428</v>
      </c>
    </row>
    <row r="228" spans="1:2" ht="14.5" x14ac:dyDescent="0.35">
      <c r="A228">
        <v>20072000</v>
      </c>
      <c r="B228" t="s">
        <v>429</v>
      </c>
    </row>
    <row r="229" spans="1:2" ht="14.5" x14ac:dyDescent="0.35">
      <c r="A229">
        <v>20072500</v>
      </c>
      <c r="B229" t="s">
        <v>430</v>
      </c>
    </row>
    <row r="230" spans="1:2" ht="14.5" x14ac:dyDescent="0.35">
      <c r="A230">
        <v>20072600</v>
      </c>
      <c r="B230" t="s">
        <v>431</v>
      </c>
    </row>
    <row r="231" spans="1:2" ht="14.5" x14ac:dyDescent="0.35">
      <c r="A231">
        <v>20072700</v>
      </c>
      <c r="B231" t="s">
        <v>432</v>
      </c>
    </row>
    <row r="232" spans="1:2" ht="14.5" x14ac:dyDescent="0.35">
      <c r="A232">
        <v>20072800</v>
      </c>
      <c r="B232" t="s">
        <v>433</v>
      </c>
    </row>
    <row r="233" spans="1:2" ht="14.5" x14ac:dyDescent="0.35">
      <c r="A233">
        <v>20072400</v>
      </c>
      <c r="B233" t="s">
        <v>434</v>
      </c>
    </row>
    <row r="234" spans="1:2" ht="14.5" x14ac:dyDescent="0.35">
      <c r="A234">
        <v>20089900</v>
      </c>
      <c r="B234" t="s">
        <v>435</v>
      </c>
    </row>
    <row r="235" spans="1:2" ht="14.5" x14ac:dyDescent="0.35">
      <c r="A235">
        <v>20092200</v>
      </c>
      <c r="B235" t="s">
        <v>436</v>
      </c>
    </row>
    <row r="236" spans="1:2" ht="14.5" x14ac:dyDescent="0.35">
      <c r="A236">
        <v>20094300</v>
      </c>
      <c r="B236" t="s">
        <v>437</v>
      </c>
    </row>
    <row r="237" spans="1:2" ht="14.5" x14ac:dyDescent="0.35">
      <c r="A237">
        <v>20095800</v>
      </c>
      <c r="B237" t="s">
        <v>438</v>
      </c>
    </row>
    <row r="238" spans="1:2" ht="14.5" x14ac:dyDescent="0.35">
      <c r="A238">
        <v>20088400</v>
      </c>
      <c r="B238" t="s">
        <v>439</v>
      </c>
    </row>
    <row r="239" spans="1:2" ht="14.5" x14ac:dyDescent="0.35">
      <c r="A239">
        <v>20088500</v>
      </c>
      <c r="B239" t="s">
        <v>440</v>
      </c>
    </row>
    <row r="240" spans="1:2" ht="14.5" x14ac:dyDescent="0.35">
      <c r="A240">
        <v>20088900</v>
      </c>
      <c r="B240" t="s">
        <v>441</v>
      </c>
    </row>
    <row r="241" spans="1:2" ht="14.5" x14ac:dyDescent="0.35">
      <c r="A241">
        <v>20089500</v>
      </c>
      <c r="B241" t="s">
        <v>442</v>
      </c>
    </row>
    <row r="242" spans="1:2" ht="14.5" x14ac:dyDescent="0.35">
      <c r="A242">
        <v>20089600</v>
      </c>
      <c r="B242" t="s">
        <v>443</v>
      </c>
    </row>
    <row r="243" spans="1:2" ht="14.5" x14ac:dyDescent="0.35">
      <c r="A243">
        <v>20090100</v>
      </c>
      <c r="B243" t="s">
        <v>444</v>
      </c>
    </row>
    <row r="244" spans="1:2" ht="14.5" x14ac:dyDescent="0.35">
      <c r="A244">
        <v>20090800</v>
      </c>
      <c r="B244" t="s">
        <v>445</v>
      </c>
    </row>
    <row r="245" spans="1:2" ht="14.5" x14ac:dyDescent="0.35">
      <c r="A245">
        <v>20091400</v>
      </c>
      <c r="B245" t="s">
        <v>446</v>
      </c>
    </row>
    <row r="246" spans="1:2" ht="14.5" x14ac:dyDescent="0.35">
      <c r="A246">
        <v>20093900</v>
      </c>
      <c r="B246" t="s">
        <v>447</v>
      </c>
    </row>
    <row r="247" spans="1:2" ht="14.5" x14ac:dyDescent="0.35">
      <c r="A247">
        <v>20094000</v>
      </c>
      <c r="B247" t="s">
        <v>448</v>
      </c>
    </row>
    <row r="248" spans="1:2" ht="14.5" x14ac:dyDescent="0.35">
      <c r="A248">
        <v>20094200</v>
      </c>
      <c r="B248" t="s">
        <v>449</v>
      </c>
    </row>
    <row r="249" spans="1:2" ht="14.5" x14ac:dyDescent="0.35">
      <c r="A249">
        <v>20095100</v>
      </c>
      <c r="B249" t="s">
        <v>450</v>
      </c>
    </row>
    <row r="250" spans="1:2" ht="14.5" x14ac:dyDescent="0.35">
      <c r="A250">
        <v>20095300</v>
      </c>
      <c r="B250" t="s">
        <v>451</v>
      </c>
    </row>
    <row r="251" spans="1:2" ht="14.5" x14ac:dyDescent="0.35">
      <c r="A251">
        <v>20095500</v>
      </c>
      <c r="B251" t="s">
        <v>452</v>
      </c>
    </row>
    <row r="252" spans="1:2" ht="14.5" x14ac:dyDescent="0.35">
      <c r="A252">
        <v>20095900</v>
      </c>
      <c r="B252" t="s">
        <v>453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0DC9-3404-45AE-80AB-CD162B823F6D}">
  <sheetPr codeName="Sheet15"/>
  <dimension ref="A1:M924"/>
  <sheetViews>
    <sheetView tabSelected="1" topLeftCell="C1" workbookViewId="0">
      <selection activeCell="O1" sqref="O1"/>
    </sheetView>
  </sheetViews>
  <sheetFormatPr defaultRowHeight="14.5" outlineLevelCol="1" x14ac:dyDescent="0.35"/>
  <cols>
    <col min="1" max="1" width="13.54296875" hidden="1" customWidth="1" outlineLevel="1"/>
    <col min="2" max="2" width="19.08984375" hidden="1" customWidth="1" outlineLevel="1"/>
    <col min="3" max="3" width="13" customWidth="1" collapsed="1"/>
    <col min="4" max="4" width="11.54296875" bestFit="1" customWidth="1"/>
    <col min="5" max="5" width="42.1796875" style="198" customWidth="1"/>
    <col min="6" max="6" width="23.1796875" bestFit="1" customWidth="1"/>
    <col min="7" max="7" width="10.7265625" bestFit="1" customWidth="1"/>
    <col min="11" max="11" width="11.81640625" bestFit="1" customWidth="1"/>
    <col min="12" max="12" width="13.6328125" customWidth="1"/>
  </cols>
  <sheetData>
    <row r="1" spans="1:13" ht="23" customHeight="1" x14ac:dyDescent="0.35">
      <c r="A1" s="191" t="s">
        <v>616</v>
      </c>
      <c r="B1" s="191" t="s">
        <v>850</v>
      </c>
      <c r="C1" s="194" t="s">
        <v>1</v>
      </c>
      <c r="D1" s="194" t="s">
        <v>115</v>
      </c>
      <c r="E1" s="195" t="s">
        <v>142</v>
      </c>
      <c r="F1" s="195" t="s">
        <v>851</v>
      </c>
      <c r="G1" s="195" t="s">
        <v>852</v>
      </c>
      <c r="K1" s="195" t="s">
        <v>853</v>
      </c>
      <c r="L1" s="207"/>
      <c r="M1" s="195" t="s">
        <v>618</v>
      </c>
    </row>
    <row r="2" spans="1:13" x14ac:dyDescent="0.35">
      <c r="C2" s="193"/>
      <c r="D2" s="193"/>
      <c r="E2" s="196"/>
      <c r="F2" s="206"/>
      <c r="G2" s="206"/>
    </row>
    <row r="3" spans="1:13" x14ac:dyDescent="0.35">
      <c r="C3" s="193"/>
      <c r="D3" s="193"/>
      <c r="E3" s="196"/>
      <c r="F3" s="206"/>
      <c r="G3" s="206"/>
    </row>
    <row r="4" spans="1:13" x14ac:dyDescent="0.35">
      <c r="C4" s="193"/>
      <c r="D4" s="193"/>
      <c r="E4" s="196"/>
      <c r="F4" s="206"/>
      <c r="G4" s="206"/>
    </row>
    <row r="5" spans="1:13" x14ac:dyDescent="0.35">
      <c r="C5" s="193"/>
      <c r="D5" s="193"/>
      <c r="E5" s="196"/>
      <c r="F5" s="206"/>
      <c r="G5" s="206"/>
    </row>
    <row r="6" spans="1:13" x14ac:dyDescent="0.35">
      <c r="C6" s="193"/>
      <c r="D6" s="193"/>
      <c r="E6" s="196"/>
      <c r="F6" s="206"/>
      <c r="G6" s="206"/>
    </row>
    <row r="7" spans="1:13" x14ac:dyDescent="0.35">
      <c r="C7" s="193"/>
      <c r="D7" s="193"/>
      <c r="E7" s="196"/>
      <c r="F7" s="206"/>
      <c r="G7" s="206"/>
    </row>
    <row r="8" spans="1:13" x14ac:dyDescent="0.35">
      <c r="C8" s="193"/>
      <c r="D8" s="193"/>
      <c r="E8" s="196"/>
      <c r="F8" s="206"/>
      <c r="G8" s="206"/>
    </row>
    <row r="9" spans="1:13" x14ac:dyDescent="0.35">
      <c r="C9" s="193"/>
      <c r="D9" s="193"/>
      <c r="E9" s="196"/>
      <c r="F9" s="206"/>
      <c r="G9" s="206"/>
    </row>
    <row r="10" spans="1:13" x14ac:dyDescent="0.35">
      <c r="C10" s="193"/>
      <c r="D10" s="193"/>
      <c r="E10" s="196"/>
      <c r="F10" s="206"/>
      <c r="G10" s="206"/>
    </row>
    <row r="11" spans="1:13" x14ac:dyDescent="0.35">
      <c r="C11" s="193"/>
      <c r="D11" s="193"/>
      <c r="E11" s="196"/>
      <c r="F11" s="206"/>
      <c r="G11" s="206"/>
    </row>
    <row r="12" spans="1:13" x14ac:dyDescent="0.35">
      <c r="C12" s="193"/>
      <c r="D12" s="193"/>
      <c r="E12" s="196"/>
      <c r="F12" s="206"/>
      <c r="G12" s="206"/>
    </row>
    <row r="13" spans="1:13" x14ac:dyDescent="0.35">
      <c r="C13" s="193"/>
      <c r="D13" s="193"/>
      <c r="E13" s="196"/>
      <c r="F13" s="206"/>
      <c r="G13" s="206"/>
    </row>
    <row r="14" spans="1:13" x14ac:dyDescent="0.35">
      <c r="C14" s="193"/>
      <c r="D14" s="193"/>
      <c r="E14" s="196"/>
      <c r="F14" s="206"/>
      <c r="G14" s="206"/>
    </row>
    <row r="15" spans="1:13" x14ac:dyDescent="0.35">
      <c r="C15" s="193"/>
      <c r="D15" s="193"/>
      <c r="E15" s="196"/>
      <c r="F15" s="206"/>
      <c r="G15" s="206"/>
    </row>
    <row r="16" spans="1:13" x14ac:dyDescent="0.35">
      <c r="C16" s="193"/>
      <c r="D16" s="193"/>
      <c r="E16" s="196"/>
      <c r="F16" s="206"/>
      <c r="G16" s="206"/>
    </row>
    <row r="17" spans="3:7" x14ac:dyDescent="0.35">
      <c r="C17" s="193"/>
      <c r="D17" s="193"/>
      <c r="E17" s="196"/>
      <c r="F17" s="206"/>
      <c r="G17" s="206"/>
    </row>
    <row r="18" spans="3:7" x14ac:dyDescent="0.35">
      <c r="C18" s="193"/>
      <c r="D18" s="193"/>
      <c r="E18" s="196"/>
      <c r="F18" s="206"/>
      <c r="G18" s="206"/>
    </row>
    <row r="19" spans="3:7" x14ac:dyDescent="0.35">
      <c r="C19" s="193"/>
      <c r="D19" s="193"/>
      <c r="E19" s="196"/>
      <c r="F19" s="206"/>
      <c r="G19" s="206"/>
    </row>
    <row r="20" spans="3:7" x14ac:dyDescent="0.35">
      <c r="C20" s="193"/>
      <c r="D20" s="193"/>
      <c r="E20" s="196"/>
      <c r="F20" s="206"/>
      <c r="G20" s="206"/>
    </row>
    <row r="21" spans="3:7" x14ac:dyDescent="0.35">
      <c r="C21" s="193"/>
      <c r="D21" s="193"/>
      <c r="E21" s="196"/>
      <c r="F21" s="206"/>
      <c r="G21" s="206"/>
    </row>
    <row r="22" spans="3:7" x14ac:dyDescent="0.35">
      <c r="C22" s="193"/>
      <c r="D22" s="193"/>
      <c r="E22" s="196"/>
      <c r="F22" s="206"/>
      <c r="G22" s="206"/>
    </row>
    <row r="23" spans="3:7" x14ac:dyDescent="0.35">
      <c r="C23" s="193"/>
      <c r="D23" s="193"/>
      <c r="E23" s="196"/>
      <c r="F23" s="206"/>
      <c r="G23" s="206"/>
    </row>
    <row r="24" spans="3:7" x14ac:dyDescent="0.35">
      <c r="C24" s="193"/>
      <c r="D24" s="193"/>
      <c r="E24" s="196"/>
      <c r="F24" s="206"/>
      <c r="G24" s="206"/>
    </row>
    <row r="25" spans="3:7" x14ac:dyDescent="0.35">
      <c r="C25" s="193"/>
      <c r="D25" s="193"/>
      <c r="E25" s="196"/>
      <c r="F25" s="206"/>
      <c r="G25" s="206"/>
    </row>
    <row r="26" spans="3:7" x14ac:dyDescent="0.35">
      <c r="C26" s="193"/>
      <c r="D26" s="193"/>
      <c r="E26" s="196"/>
      <c r="F26" s="206"/>
      <c r="G26" s="206"/>
    </row>
    <row r="27" spans="3:7" x14ac:dyDescent="0.35">
      <c r="C27" s="193"/>
      <c r="D27" s="193"/>
      <c r="E27" s="196"/>
      <c r="F27" s="206"/>
      <c r="G27" s="206"/>
    </row>
    <row r="28" spans="3:7" x14ac:dyDescent="0.35">
      <c r="C28" s="193"/>
      <c r="D28" s="193"/>
      <c r="E28" s="196"/>
      <c r="F28" s="206"/>
      <c r="G28" s="206"/>
    </row>
    <row r="29" spans="3:7" x14ac:dyDescent="0.35">
      <c r="C29" s="193"/>
      <c r="D29" s="193"/>
      <c r="E29" s="196"/>
      <c r="F29" s="206"/>
      <c r="G29" s="206"/>
    </row>
    <row r="30" spans="3:7" x14ac:dyDescent="0.35">
      <c r="C30" s="193"/>
      <c r="D30" s="193"/>
      <c r="E30" s="196"/>
      <c r="F30" s="206"/>
      <c r="G30" s="206"/>
    </row>
    <row r="31" spans="3:7" x14ac:dyDescent="0.35">
      <c r="C31" s="193"/>
      <c r="D31" s="193"/>
      <c r="E31" s="196"/>
      <c r="F31" s="206"/>
      <c r="G31" s="206"/>
    </row>
    <row r="32" spans="3:7" x14ac:dyDescent="0.35">
      <c r="C32" s="193"/>
      <c r="D32" s="193"/>
      <c r="E32" s="196"/>
      <c r="F32" s="206"/>
      <c r="G32" s="206"/>
    </row>
    <row r="33" spans="3:7" x14ac:dyDescent="0.35">
      <c r="C33" s="193"/>
      <c r="D33" s="193"/>
      <c r="E33" s="196"/>
      <c r="F33" s="206"/>
      <c r="G33" s="206"/>
    </row>
    <row r="34" spans="3:7" x14ac:dyDescent="0.35">
      <c r="C34" s="193"/>
      <c r="D34" s="193"/>
      <c r="E34" s="196"/>
      <c r="F34" s="206"/>
      <c r="G34" s="206"/>
    </row>
    <row r="35" spans="3:7" x14ac:dyDescent="0.35">
      <c r="C35" s="193"/>
      <c r="D35" s="193"/>
      <c r="E35" s="196"/>
      <c r="F35" s="206"/>
      <c r="G35" s="206"/>
    </row>
    <row r="36" spans="3:7" x14ac:dyDescent="0.35">
      <c r="C36" s="193"/>
      <c r="D36" s="193"/>
      <c r="E36" s="196"/>
      <c r="F36" s="206"/>
      <c r="G36" s="206"/>
    </row>
    <row r="37" spans="3:7" x14ac:dyDescent="0.35">
      <c r="C37" s="193"/>
      <c r="D37" s="193"/>
      <c r="E37" s="196"/>
      <c r="F37" s="206"/>
      <c r="G37" s="206"/>
    </row>
    <row r="38" spans="3:7" x14ac:dyDescent="0.35">
      <c r="C38" s="193"/>
      <c r="D38" s="193"/>
      <c r="E38" s="196"/>
      <c r="F38" s="206"/>
      <c r="G38" s="206"/>
    </row>
    <row r="39" spans="3:7" x14ac:dyDescent="0.35">
      <c r="C39" s="193"/>
      <c r="D39" s="193"/>
      <c r="E39" s="196"/>
      <c r="F39" s="206"/>
      <c r="G39" s="206"/>
    </row>
    <row r="40" spans="3:7" x14ac:dyDescent="0.35">
      <c r="C40" s="193"/>
      <c r="D40" s="193"/>
      <c r="E40" s="196"/>
      <c r="F40" s="206"/>
      <c r="G40" s="206"/>
    </row>
    <row r="41" spans="3:7" x14ac:dyDescent="0.35">
      <c r="C41" s="193"/>
      <c r="D41" s="193"/>
      <c r="E41" s="196"/>
      <c r="F41" s="206"/>
      <c r="G41" s="206"/>
    </row>
    <row r="42" spans="3:7" x14ac:dyDescent="0.35">
      <c r="C42" s="193"/>
      <c r="D42" s="193"/>
      <c r="E42" s="196"/>
      <c r="F42" s="206"/>
      <c r="G42" s="206"/>
    </row>
    <row r="43" spans="3:7" x14ac:dyDescent="0.35">
      <c r="C43" s="193"/>
      <c r="D43" s="193"/>
      <c r="E43" s="196"/>
      <c r="F43" s="206"/>
      <c r="G43" s="206"/>
    </row>
    <row r="44" spans="3:7" x14ac:dyDescent="0.35">
      <c r="C44" s="193"/>
      <c r="D44" s="193"/>
      <c r="E44" s="196"/>
      <c r="F44" s="206"/>
      <c r="G44" s="206"/>
    </row>
    <row r="45" spans="3:7" x14ac:dyDescent="0.35">
      <c r="C45" s="193"/>
      <c r="D45" s="193"/>
      <c r="E45" s="196"/>
      <c r="F45" s="206"/>
      <c r="G45" s="206"/>
    </row>
    <row r="46" spans="3:7" x14ac:dyDescent="0.35">
      <c r="C46" s="193"/>
      <c r="D46" s="193"/>
      <c r="E46" s="196"/>
      <c r="F46" s="206"/>
      <c r="G46" s="206"/>
    </row>
    <row r="47" spans="3:7" x14ac:dyDescent="0.35">
      <c r="C47" s="193"/>
      <c r="D47" s="193"/>
      <c r="E47" s="196"/>
      <c r="F47" s="206"/>
      <c r="G47" s="206"/>
    </row>
    <row r="48" spans="3:7" x14ac:dyDescent="0.35">
      <c r="C48" s="193"/>
      <c r="D48" s="193"/>
      <c r="E48" s="196"/>
      <c r="F48" s="206"/>
      <c r="G48" s="206"/>
    </row>
    <row r="49" spans="3:7" x14ac:dyDescent="0.35">
      <c r="C49" s="193"/>
      <c r="D49" s="193"/>
      <c r="E49" s="196"/>
      <c r="F49" s="206"/>
      <c r="G49" s="206"/>
    </row>
    <row r="50" spans="3:7" x14ac:dyDescent="0.35">
      <c r="C50" s="193"/>
      <c r="D50" s="193"/>
      <c r="E50" s="196"/>
      <c r="F50" s="206"/>
      <c r="G50" s="206"/>
    </row>
    <row r="51" spans="3:7" x14ac:dyDescent="0.35">
      <c r="C51" s="193"/>
      <c r="D51" s="193"/>
      <c r="E51" s="196"/>
      <c r="F51" s="206"/>
      <c r="G51" s="206"/>
    </row>
    <row r="52" spans="3:7" x14ac:dyDescent="0.35">
      <c r="C52" s="193"/>
      <c r="D52" s="193"/>
      <c r="E52" s="196"/>
      <c r="F52" s="206"/>
      <c r="G52" s="206"/>
    </row>
    <row r="53" spans="3:7" x14ac:dyDescent="0.35">
      <c r="C53" s="193"/>
      <c r="D53" s="193"/>
      <c r="E53" s="196"/>
      <c r="F53" s="206"/>
      <c r="G53" s="206"/>
    </row>
    <row r="54" spans="3:7" x14ac:dyDescent="0.35">
      <c r="C54" s="193"/>
      <c r="D54" s="193"/>
      <c r="E54" s="196"/>
      <c r="F54" s="206"/>
      <c r="G54" s="206"/>
    </row>
    <row r="55" spans="3:7" x14ac:dyDescent="0.35">
      <c r="C55" s="193"/>
      <c r="D55" s="193"/>
      <c r="E55" s="196"/>
      <c r="F55" s="206"/>
      <c r="G55" s="206"/>
    </row>
    <row r="56" spans="3:7" x14ac:dyDescent="0.35">
      <c r="C56" s="193"/>
      <c r="D56" s="193"/>
      <c r="E56" s="196"/>
      <c r="F56" s="206"/>
      <c r="G56" s="206"/>
    </row>
    <row r="57" spans="3:7" x14ac:dyDescent="0.35">
      <c r="C57" s="193"/>
      <c r="D57" s="193"/>
      <c r="E57" s="196"/>
      <c r="F57" s="206"/>
      <c r="G57" s="206"/>
    </row>
    <row r="58" spans="3:7" x14ac:dyDescent="0.35">
      <c r="C58" s="193"/>
      <c r="D58" s="193"/>
      <c r="E58" s="196"/>
      <c r="F58" s="206"/>
      <c r="G58" s="206"/>
    </row>
    <row r="59" spans="3:7" x14ac:dyDescent="0.35">
      <c r="C59" s="193"/>
      <c r="D59" s="193"/>
      <c r="E59" s="196"/>
      <c r="F59" s="206"/>
      <c r="G59" s="206"/>
    </row>
    <row r="60" spans="3:7" x14ac:dyDescent="0.35">
      <c r="C60" s="193"/>
      <c r="D60" s="193"/>
      <c r="E60" s="196"/>
      <c r="F60" s="206"/>
      <c r="G60" s="206"/>
    </row>
    <row r="61" spans="3:7" x14ac:dyDescent="0.35">
      <c r="C61" s="193"/>
      <c r="D61" s="193"/>
      <c r="E61" s="196"/>
      <c r="F61" s="206"/>
      <c r="G61" s="206"/>
    </row>
    <row r="62" spans="3:7" x14ac:dyDescent="0.35">
      <c r="C62" s="193"/>
      <c r="D62" s="193"/>
      <c r="E62" s="196"/>
      <c r="F62" s="206"/>
      <c r="G62" s="206"/>
    </row>
    <row r="63" spans="3:7" x14ac:dyDescent="0.35">
      <c r="C63" s="193"/>
      <c r="D63" s="193"/>
      <c r="E63" s="196"/>
      <c r="F63" s="206"/>
      <c r="G63" s="206"/>
    </row>
    <row r="64" spans="3:7" x14ac:dyDescent="0.35">
      <c r="C64" s="193"/>
      <c r="D64" s="193"/>
      <c r="E64" s="196"/>
      <c r="F64" s="206"/>
      <c r="G64" s="206"/>
    </row>
    <row r="65" spans="3:7" x14ac:dyDescent="0.35">
      <c r="C65" s="193"/>
      <c r="D65" s="193"/>
      <c r="E65" s="196"/>
      <c r="F65" s="206"/>
      <c r="G65" s="206"/>
    </row>
    <row r="66" spans="3:7" x14ac:dyDescent="0.35">
      <c r="C66" s="193"/>
      <c r="D66" s="193"/>
      <c r="E66" s="196"/>
      <c r="F66" s="206"/>
      <c r="G66" s="206"/>
    </row>
    <row r="67" spans="3:7" x14ac:dyDescent="0.35">
      <c r="C67" s="193"/>
      <c r="D67" s="193"/>
      <c r="E67" s="196"/>
      <c r="F67" s="206"/>
      <c r="G67" s="206"/>
    </row>
    <row r="68" spans="3:7" x14ac:dyDescent="0.35">
      <c r="C68" s="193"/>
      <c r="D68" s="193"/>
      <c r="E68" s="196"/>
      <c r="F68" s="206"/>
      <c r="G68" s="206"/>
    </row>
    <row r="69" spans="3:7" x14ac:dyDescent="0.35">
      <c r="C69" s="193"/>
      <c r="D69" s="193"/>
      <c r="E69" s="196"/>
      <c r="F69" s="206"/>
      <c r="G69" s="206"/>
    </row>
    <row r="70" spans="3:7" x14ac:dyDescent="0.35">
      <c r="C70" s="193"/>
      <c r="D70" s="193"/>
      <c r="E70" s="196"/>
      <c r="F70" s="206"/>
      <c r="G70" s="206"/>
    </row>
    <row r="71" spans="3:7" x14ac:dyDescent="0.35">
      <c r="C71" s="193"/>
      <c r="D71" s="193"/>
      <c r="E71" s="196"/>
      <c r="F71" s="206"/>
      <c r="G71" s="206"/>
    </row>
    <row r="72" spans="3:7" x14ac:dyDescent="0.35">
      <c r="C72" s="193"/>
      <c r="D72" s="193"/>
      <c r="E72" s="196"/>
      <c r="F72" s="206"/>
      <c r="G72" s="206"/>
    </row>
    <row r="73" spans="3:7" x14ac:dyDescent="0.35">
      <c r="C73" s="193"/>
      <c r="D73" s="193"/>
      <c r="E73" s="196"/>
      <c r="F73" s="206"/>
      <c r="G73" s="206"/>
    </row>
    <row r="74" spans="3:7" x14ac:dyDescent="0.35">
      <c r="C74" s="193"/>
      <c r="D74" s="193"/>
      <c r="E74" s="196"/>
      <c r="F74" s="206"/>
      <c r="G74" s="206"/>
    </row>
    <row r="75" spans="3:7" x14ac:dyDescent="0.35">
      <c r="C75" s="193"/>
      <c r="D75" s="193"/>
      <c r="E75" s="196"/>
      <c r="F75" s="206"/>
      <c r="G75" s="206"/>
    </row>
    <row r="76" spans="3:7" x14ac:dyDescent="0.35">
      <c r="C76" s="193"/>
      <c r="D76" s="193"/>
      <c r="E76" s="196"/>
      <c r="F76" s="206"/>
      <c r="G76" s="206"/>
    </row>
    <row r="77" spans="3:7" x14ac:dyDescent="0.35">
      <c r="C77" s="193"/>
      <c r="D77" s="193"/>
      <c r="E77" s="196"/>
      <c r="F77" s="206"/>
      <c r="G77" s="206"/>
    </row>
    <row r="78" spans="3:7" x14ac:dyDescent="0.35">
      <c r="C78" s="193"/>
      <c r="D78" s="193"/>
      <c r="E78" s="196"/>
      <c r="F78" s="206"/>
      <c r="G78" s="206"/>
    </row>
    <row r="79" spans="3:7" x14ac:dyDescent="0.35">
      <c r="C79" s="193"/>
      <c r="D79" s="193"/>
      <c r="E79" s="196"/>
      <c r="F79" s="206"/>
      <c r="G79" s="206"/>
    </row>
    <row r="80" spans="3:7" x14ac:dyDescent="0.35">
      <c r="C80" s="193"/>
      <c r="D80" s="193"/>
      <c r="E80" s="196"/>
      <c r="F80" s="206"/>
      <c r="G80" s="206"/>
    </row>
    <row r="81" spans="3:7" x14ac:dyDescent="0.35">
      <c r="C81" s="193"/>
      <c r="D81" s="193"/>
      <c r="E81" s="196"/>
      <c r="F81" s="206"/>
      <c r="G81" s="206"/>
    </row>
    <row r="82" spans="3:7" x14ac:dyDescent="0.35">
      <c r="C82" s="193"/>
      <c r="D82" s="193"/>
      <c r="E82" s="196"/>
      <c r="F82" s="206"/>
      <c r="G82" s="206"/>
    </row>
    <row r="83" spans="3:7" x14ac:dyDescent="0.35">
      <c r="C83" s="193"/>
      <c r="D83" s="193"/>
      <c r="E83" s="196"/>
      <c r="F83" s="206"/>
      <c r="G83" s="206"/>
    </row>
    <row r="84" spans="3:7" x14ac:dyDescent="0.35">
      <c r="C84" s="193"/>
      <c r="D84" s="193"/>
      <c r="E84" s="196"/>
      <c r="F84" s="206"/>
      <c r="G84" s="206"/>
    </row>
    <row r="85" spans="3:7" x14ac:dyDescent="0.35">
      <c r="C85" s="193"/>
      <c r="D85" s="193"/>
      <c r="E85" s="196"/>
      <c r="F85" s="206"/>
      <c r="G85" s="206"/>
    </row>
    <row r="86" spans="3:7" x14ac:dyDescent="0.35">
      <c r="C86" s="193"/>
      <c r="D86" s="193"/>
      <c r="E86" s="196"/>
      <c r="F86" s="206"/>
      <c r="G86" s="206"/>
    </row>
    <row r="87" spans="3:7" x14ac:dyDescent="0.35">
      <c r="C87" s="193"/>
      <c r="D87" s="193"/>
      <c r="E87" s="196"/>
      <c r="F87" s="206"/>
      <c r="G87" s="206"/>
    </row>
    <row r="88" spans="3:7" x14ac:dyDescent="0.35">
      <c r="C88" s="193"/>
      <c r="D88" s="193"/>
      <c r="E88" s="196"/>
      <c r="F88" s="206"/>
      <c r="G88" s="206"/>
    </row>
    <row r="89" spans="3:7" x14ac:dyDescent="0.35">
      <c r="C89" s="193"/>
      <c r="D89" s="193"/>
      <c r="E89" s="196"/>
      <c r="F89" s="206"/>
      <c r="G89" s="206"/>
    </row>
    <row r="90" spans="3:7" x14ac:dyDescent="0.35">
      <c r="C90" s="193"/>
      <c r="D90" s="193"/>
      <c r="E90" s="196"/>
      <c r="F90" s="206"/>
      <c r="G90" s="206"/>
    </row>
    <row r="91" spans="3:7" x14ac:dyDescent="0.35">
      <c r="C91" s="193"/>
      <c r="D91" s="193"/>
      <c r="E91" s="196"/>
      <c r="F91" s="206"/>
      <c r="G91" s="206"/>
    </row>
    <row r="92" spans="3:7" x14ac:dyDescent="0.35">
      <c r="C92" s="193"/>
      <c r="D92" s="193"/>
      <c r="E92" s="196"/>
      <c r="F92" s="206"/>
      <c r="G92" s="206"/>
    </row>
    <row r="93" spans="3:7" x14ac:dyDescent="0.35">
      <c r="C93" s="193"/>
      <c r="D93" s="193"/>
      <c r="E93" s="196"/>
      <c r="F93" s="206"/>
      <c r="G93" s="206"/>
    </row>
    <row r="94" spans="3:7" x14ac:dyDescent="0.35">
      <c r="C94" s="193"/>
      <c r="D94" s="193"/>
      <c r="E94" s="196"/>
      <c r="F94" s="206"/>
      <c r="G94" s="206"/>
    </row>
    <row r="95" spans="3:7" x14ac:dyDescent="0.35">
      <c r="C95" s="193"/>
      <c r="D95" s="193"/>
      <c r="E95" s="196"/>
      <c r="F95" s="206"/>
      <c r="G95" s="206"/>
    </row>
    <row r="96" spans="3:7" x14ac:dyDescent="0.35">
      <c r="C96" s="193"/>
      <c r="D96" s="193"/>
      <c r="E96" s="196"/>
      <c r="F96" s="206"/>
      <c r="G96" s="206"/>
    </row>
    <row r="97" spans="3:7" x14ac:dyDescent="0.35">
      <c r="C97" s="193"/>
      <c r="D97" s="193"/>
      <c r="E97" s="196"/>
      <c r="F97" s="206"/>
      <c r="G97" s="206"/>
    </row>
    <row r="98" spans="3:7" x14ac:dyDescent="0.35">
      <c r="C98" s="193"/>
      <c r="D98" s="193"/>
      <c r="E98" s="196"/>
      <c r="F98" s="206"/>
      <c r="G98" s="206"/>
    </row>
    <row r="99" spans="3:7" x14ac:dyDescent="0.35">
      <c r="C99" s="193"/>
      <c r="D99" s="193"/>
      <c r="E99" s="196"/>
      <c r="F99" s="206"/>
      <c r="G99" s="206"/>
    </row>
    <row r="100" spans="3:7" x14ac:dyDescent="0.35">
      <c r="C100" s="193"/>
      <c r="D100" s="193"/>
      <c r="E100" s="196"/>
      <c r="F100" s="206"/>
      <c r="G100" s="206"/>
    </row>
    <row r="101" spans="3:7" x14ac:dyDescent="0.35">
      <c r="C101" s="193"/>
      <c r="D101" s="193"/>
      <c r="E101" s="196"/>
      <c r="F101" s="206"/>
      <c r="G101" s="206"/>
    </row>
    <row r="102" spans="3:7" x14ac:dyDescent="0.35">
      <c r="C102" s="193"/>
      <c r="D102" s="193"/>
      <c r="E102" s="196"/>
      <c r="F102" s="206"/>
      <c r="G102" s="206"/>
    </row>
    <row r="103" spans="3:7" x14ac:dyDescent="0.35">
      <c r="C103" s="193"/>
      <c r="D103" s="193"/>
      <c r="E103" s="196"/>
      <c r="F103" s="206"/>
      <c r="G103" s="206"/>
    </row>
    <row r="104" spans="3:7" x14ac:dyDescent="0.35">
      <c r="C104" s="193"/>
      <c r="D104" s="193"/>
      <c r="E104" s="196"/>
      <c r="F104" s="206"/>
      <c r="G104" s="206"/>
    </row>
    <row r="105" spans="3:7" x14ac:dyDescent="0.35">
      <c r="C105" s="193"/>
      <c r="D105" s="193"/>
      <c r="E105" s="196"/>
      <c r="F105" s="206"/>
      <c r="G105" s="206"/>
    </row>
    <row r="106" spans="3:7" x14ac:dyDescent="0.35">
      <c r="C106" s="193"/>
      <c r="D106" s="193"/>
      <c r="E106" s="196"/>
      <c r="F106" s="206"/>
      <c r="G106" s="206"/>
    </row>
    <row r="107" spans="3:7" x14ac:dyDescent="0.35">
      <c r="C107" s="193"/>
      <c r="D107" s="193"/>
      <c r="E107" s="196"/>
      <c r="F107" s="206"/>
      <c r="G107" s="206"/>
    </row>
    <row r="108" spans="3:7" x14ac:dyDescent="0.35">
      <c r="C108" s="193"/>
      <c r="D108" s="193"/>
      <c r="E108" s="196"/>
      <c r="F108" s="206"/>
      <c r="G108" s="206"/>
    </row>
    <row r="109" spans="3:7" x14ac:dyDescent="0.35">
      <c r="C109" s="193"/>
      <c r="D109" s="193"/>
      <c r="E109" s="196"/>
      <c r="F109" s="206"/>
      <c r="G109" s="206"/>
    </row>
    <row r="110" spans="3:7" x14ac:dyDescent="0.35">
      <c r="C110" s="193"/>
      <c r="D110" s="193"/>
      <c r="E110" s="196"/>
      <c r="F110" s="206"/>
      <c r="G110" s="206"/>
    </row>
    <row r="111" spans="3:7" x14ac:dyDescent="0.35">
      <c r="C111" s="193"/>
      <c r="D111" s="193"/>
      <c r="E111" s="196"/>
      <c r="F111" s="206"/>
      <c r="G111" s="206"/>
    </row>
    <row r="112" spans="3:7" x14ac:dyDescent="0.35">
      <c r="C112" s="193"/>
      <c r="D112" s="193"/>
      <c r="E112" s="196"/>
      <c r="F112" s="206"/>
      <c r="G112" s="206"/>
    </row>
    <row r="113" spans="3:7" x14ac:dyDescent="0.35">
      <c r="C113" s="193"/>
      <c r="D113" s="193"/>
      <c r="E113" s="196"/>
      <c r="F113" s="206"/>
      <c r="G113" s="206"/>
    </row>
    <row r="114" spans="3:7" x14ac:dyDescent="0.35">
      <c r="C114" s="193"/>
      <c r="D114" s="193"/>
      <c r="E114" s="196"/>
      <c r="F114" s="206"/>
      <c r="G114" s="206"/>
    </row>
    <row r="115" spans="3:7" x14ac:dyDescent="0.35">
      <c r="C115" s="193"/>
      <c r="D115" s="193"/>
      <c r="E115" s="196"/>
      <c r="F115" s="206"/>
      <c r="G115" s="206"/>
    </row>
    <row r="116" spans="3:7" x14ac:dyDescent="0.35">
      <c r="C116" s="193"/>
      <c r="D116" s="193"/>
      <c r="E116" s="196"/>
      <c r="F116" s="206"/>
      <c r="G116" s="206"/>
    </row>
    <row r="117" spans="3:7" x14ac:dyDescent="0.35">
      <c r="C117" s="193"/>
      <c r="D117" s="193"/>
      <c r="E117" s="196"/>
      <c r="F117" s="206"/>
      <c r="G117" s="206"/>
    </row>
    <row r="118" spans="3:7" x14ac:dyDescent="0.35">
      <c r="C118" s="193"/>
      <c r="D118" s="193"/>
      <c r="E118" s="196"/>
      <c r="F118" s="206"/>
      <c r="G118" s="206"/>
    </row>
    <row r="119" spans="3:7" x14ac:dyDescent="0.35">
      <c r="C119" s="193"/>
      <c r="D119" s="193"/>
      <c r="E119" s="196"/>
      <c r="F119" s="206"/>
      <c r="G119" s="206"/>
    </row>
    <row r="120" spans="3:7" x14ac:dyDescent="0.35">
      <c r="C120" s="193"/>
      <c r="D120" s="193"/>
      <c r="E120" s="196"/>
      <c r="F120" s="206"/>
      <c r="G120" s="206"/>
    </row>
    <row r="121" spans="3:7" x14ac:dyDescent="0.35">
      <c r="C121" s="193"/>
      <c r="D121" s="193"/>
      <c r="E121" s="196"/>
      <c r="F121" s="206"/>
      <c r="G121" s="206"/>
    </row>
    <row r="122" spans="3:7" x14ac:dyDescent="0.35">
      <c r="C122" s="193"/>
      <c r="D122" s="193"/>
      <c r="E122" s="196"/>
      <c r="F122" s="206"/>
      <c r="G122" s="206"/>
    </row>
    <row r="123" spans="3:7" x14ac:dyDescent="0.35">
      <c r="C123" s="193"/>
      <c r="D123" s="193"/>
      <c r="E123" s="196"/>
      <c r="F123" s="206"/>
      <c r="G123" s="206"/>
    </row>
    <row r="124" spans="3:7" x14ac:dyDescent="0.35">
      <c r="C124" s="193"/>
      <c r="D124" s="193"/>
      <c r="E124" s="196"/>
      <c r="F124" s="206"/>
      <c r="G124" s="206"/>
    </row>
    <row r="125" spans="3:7" x14ac:dyDescent="0.35">
      <c r="C125" s="193"/>
      <c r="D125" s="193"/>
      <c r="E125" s="196"/>
      <c r="F125" s="206"/>
      <c r="G125" s="206"/>
    </row>
    <row r="126" spans="3:7" x14ac:dyDescent="0.35">
      <c r="C126" s="193"/>
      <c r="D126" s="193"/>
      <c r="E126" s="196"/>
      <c r="F126" s="206"/>
      <c r="G126" s="206"/>
    </row>
    <row r="127" spans="3:7" x14ac:dyDescent="0.35">
      <c r="C127" s="193"/>
      <c r="D127" s="193"/>
      <c r="E127" s="196"/>
      <c r="F127" s="206"/>
      <c r="G127" s="206"/>
    </row>
    <row r="128" spans="3:7" x14ac:dyDescent="0.35">
      <c r="C128" s="193"/>
      <c r="D128" s="193"/>
      <c r="E128" s="196"/>
      <c r="F128" s="206"/>
      <c r="G128" s="206"/>
    </row>
    <row r="129" spans="3:7" x14ac:dyDescent="0.35">
      <c r="C129" s="193"/>
      <c r="D129" s="193"/>
      <c r="E129" s="196"/>
      <c r="F129" s="206"/>
      <c r="G129" s="206"/>
    </row>
    <row r="130" spans="3:7" x14ac:dyDescent="0.35">
      <c r="C130" s="193"/>
      <c r="D130" s="193"/>
      <c r="E130" s="196"/>
      <c r="F130" s="206"/>
      <c r="G130" s="206"/>
    </row>
    <row r="131" spans="3:7" x14ac:dyDescent="0.35">
      <c r="C131" s="193"/>
      <c r="D131" s="193"/>
      <c r="E131" s="196"/>
      <c r="F131" s="206"/>
      <c r="G131" s="206"/>
    </row>
    <row r="132" spans="3:7" x14ac:dyDescent="0.35">
      <c r="C132" s="193"/>
      <c r="D132" s="193"/>
      <c r="E132" s="196"/>
      <c r="F132" s="206"/>
      <c r="G132" s="206"/>
    </row>
    <row r="133" spans="3:7" x14ac:dyDescent="0.35">
      <c r="C133" s="193"/>
      <c r="D133" s="193"/>
      <c r="E133" s="196"/>
      <c r="F133" s="206"/>
      <c r="G133" s="206"/>
    </row>
    <row r="134" spans="3:7" x14ac:dyDescent="0.35">
      <c r="C134" s="193"/>
      <c r="D134" s="193"/>
      <c r="E134" s="196"/>
      <c r="F134" s="206"/>
      <c r="G134" s="206"/>
    </row>
    <row r="135" spans="3:7" x14ac:dyDescent="0.35">
      <c r="C135" s="193"/>
      <c r="D135" s="193"/>
      <c r="E135" s="196"/>
      <c r="F135" s="206"/>
      <c r="G135" s="206"/>
    </row>
    <row r="136" spans="3:7" x14ac:dyDescent="0.35">
      <c r="C136" s="193"/>
      <c r="D136" s="193"/>
      <c r="E136" s="196"/>
      <c r="F136" s="206"/>
      <c r="G136" s="206"/>
    </row>
    <row r="137" spans="3:7" x14ac:dyDescent="0.35">
      <c r="C137" s="193"/>
      <c r="D137" s="193"/>
      <c r="E137" s="196"/>
      <c r="F137" s="206"/>
      <c r="G137" s="206"/>
    </row>
    <row r="138" spans="3:7" x14ac:dyDescent="0.35">
      <c r="C138" s="193"/>
      <c r="D138" s="193"/>
      <c r="E138" s="196"/>
      <c r="F138" s="206"/>
      <c r="G138" s="206"/>
    </row>
    <row r="139" spans="3:7" x14ac:dyDescent="0.35">
      <c r="C139" s="193"/>
      <c r="D139" s="193"/>
      <c r="E139" s="196"/>
      <c r="F139" s="206"/>
      <c r="G139" s="206"/>
    </row>
    <row r="140" spans="3:7" x14ac:dyDescent="0.35">
      <c r="C140" s="193"/>
      <c r="D140" s="193"/>
      <c r="E140" s="196"/>
      <c r="F140" s="206"/>
      <c r="G140" s="206"/>
    </row>
    <row r="141" spans="3:7" x14ac:dyDescent="0.35">
      <c r="C141" s="193"/>
      <c r="D141" s="193"/>
      <c r="E141" s="196"/>
      <c r="F141" s="206"/>
      <c r="G141" s="206"/>
    </row>
    <row r="142" spans="3:7" x14ac:dyDescent="0.35">
      <c r="C142" s="193"/>
      <c r="D142" s="193"/>
      <c r="E142" s="196"/>
      <c r="F142" s="206"/>
      <c r="G142" s="206"/>
    </row>
    <row r="143" spans="3:7" x14ac:dyDescent="0.35">
      <c r="C143" s="193"/>
      <c r="D143" s="193"/>
      <c r="E143" s="196"/>
      <c r="F143" s="206"/>
      <c r="G143" s="206"/>
    </row>
    <row r="144" spans="3:7" x14ac:dyDescent="0.35">
      <c r="C144" s="193"/>
      <c r="D144" s="193"/>
      <c r="E144" s="196"/>
      <c r="F144" s="206"/>
      <c r="G144" s="206"/>
    </row>
    <row r="145" spans="3:7" x14ac:dyDescent="0.35">
      <c r="C145" s="193"/>
      <c r="D145" s="193"/>
      <c r="E145" s="196"/>
      <c r="F145" s="206"/>
      <c r="G145" s="206"/>
    </row>
    <row r="146" spans="3:7" x14ac:dyDescent="0.35">
      <c r="C146" s="193"/>
      <c r="D146" s="193"/>
      <c r="E146" s="196"/>
      <c r="F146" s="206"/>
      <c r="G146" s="206"/>
    </row>
    <row r="147" spans="3:7" x14ac:dyDescent="0.35">
      <c r="C147" s="193"/>
      <c r="D147" s="193"/>
      <c r="E147" s="196"/>
      <c r="F147" s="206"/>
      <c r="G147" s="206"/>
    </row>
    <row r="148" spans="3:7" x14ac:dyDescent="0.35">
      <c r="C148" s="193"/>
      <c r="D148" s="193"/>
      <c r="E148" s="196"/>
      <c r="F148" s="206"/>
      <c r="G148" s="206"/>
    </row>
    <row r="149" spans="3:7" x14ac:dyDescent="0.35">
      <c r="C149" s="193"/>
      <c r="D149" s="193"/>
      <c r="E149" s="196"/>
      <c r="F149" s="206"/>
      <c r="G149" s="206"/>
    </row>
    <row r="150" spans="3:7" x14ac:dyDescent="0.35">
      <c r="C150" s="193"/>
      <c r="D150" s="193"/>
      <c r="E150" s="196"/>
      <c r="F150" s="206"/>
      <c r="G150" s="206"/>
    </row>
    <row r="151" spans="3:7" x14ac:dyDescent="0.35">
      <c r="C151" s="193"/>
      <c r="D151" s="193"/>
      <c r="E151" s="196"/>
      <c r="F151" s="206"/>
      <c r="G151" s="206"/>
    </row>
    <row r="152" spans="3:7" x14ac:dyDescent="0.35">
      <c r="C152" s="193"/>
      <c r="D152" s="193"/>
      <c r="E152" s="196"/>
      <c r="F152" s="206"/>
      <c r="G152" s="206"/>
    </row>
    <row r="153" spans="3:7" x14ac:dyDescent="0.35">
      <c r="C153" s="193"/>
      <c r="D153" s="193"/>
      <c r="E153" s="196"/>
      <c r="F153" s="206"/>
      <c r="G153" s="206"/>
    </row>
    <row r="154" spans="3:7" x14ac:dyDescent="0.35">
      <c r="C154" s="193"/>
      <c r="D154" s="193"/>
      <c r="E154" s="196"/>
      <c r="F154" s="206"/>
      <c r="G154" s="206"/>
    </row>
    <row r="155" spans="3:7" x14ac:dyDescent="0.35">
      <c r="C155" s="193"/>
      <c r="D155" s="193"/>
      <c r="E155" s="196"/>
      <c r="F155" s="206"/>
      <c r="G155" s="206"/>
    </row>
    <row r="156" spans="3:7" x14ac:dyDescent="0.35">
      <c r="C156" s="193"/>
      <c r="D156" s="193"/>
      <c r="E156" s="196"/>
      <c r="F156" s="206"/>
      <c r="G156" s="206"/>
    </row>
    <row r="157" spans="3:7" x14ac:dyDescent="0.35">
      <c r="C157" s="193"/>
      <c r="D157" s="193"/>
      <c r="E157" s="196"/>
      <c r="F157" s="206"/>
      <c r="G157" s="206"/>
    </row>
    <row r="158" spans="3:7" x14ac:dyDescent="0.35">
      <c r="C158" s="193"/>
      <c r="D158" s="193"/>
      <c r="E158" s="196"/>
      <c r="F158" s="206"/>
      <c r="G158" s="206"/>
    </row>
    <row r="159" spans="3:7" x14ac:dyDescent="0.35">
      <c r="C159" s="193"/>
      <c r="D159" s="193"/>
      <c r="E159" s="196"/>
      <c r="F159" s="206"/>
      <c r="G159" s="206"/>
    </row>
    <row r="160" spans="3:7" x14ac:dyDescent="0.35">
      <c r="C160" s="193"/>
      <c r="D160" s="193"/>
      <c r="E160" s="196"/>
      <c r="F160" s="206"/>
      <c r="G160" s="206"/>
    </row>
    <row r="161" spans="3:7" x14ac:dyDescent="0.35">
      <c r="C161" s="193"/>
      <c r="D161" s="193"/>
      <c r="E161" s="196"/>
      <c r="F161" s="206"/>
      <c r="G161" s="206"/>
    </row>
    <row r="162" spans="3:7" x14ac:dyDescent="0.35">
      <c r="C162" s="193"/>
      <c r="D162" s="193"/>
      <c r="E162" s="196"/>
      <c r="F162" s="206"/>
      <c r="G162" s="206"/>
    </row>
    <row r="163" spans="3:7" x14ac:dyDescent="0.35">
      <c r="C163" s="193"/>
      <c r="D163" s="193"/>
      <c r="E163" s="196"/>
      <c r="F163" s="206"/>
      <c r="G163" s="206"/>
    </row>
    <row r="164" spans="3:7" x14ac:dyDescent="0.35">
      <c r="C164" s="193"/>
      <c r="D164" s="193"/>
      <c r="E164" s="196"/>
      <c r="F164" s="206"/>
      <c r="G164" s="206"/>
    </row>
    <row r="165" spans="3:7" x14ac:dyDescent="0.35">
      <c r="C165" s="193"/>
      <c r="D165" s="193"/>
      <c r="E165" s="196"/>
      <c r="F165" s="206"/>
      <c r="G165" s="206"/>
    </row>
    <row r="166" spans="3:7" x14ac:dyDescent="0.35">
      <c r="C166" s="193"/>
      <c r="D166" s="193"/>
      <c r="E166" s="196"/>
      <c r="F166" s="206"/>
      <c r="G166" s="206"/>
    </row>
    <row r="167" spans="3:7" x14ac:dyDescent="0.35">
      <c r="C167" s="193"/>
      <c r="D167" s="193"/>
      <c r="E167" s="196"/>
      <c r="F167" s="206"/>
      <c r="G167" s="206"/>
    </row>
    <row r="168" spans="3:7" x14ac:dyDescent="0.35">
      <c r="C168" s="193"/>
      <c r="D168" s="193"/>
      <c r="E168" s="196"/>
      <c r="F168" s="206"/>
      <c r="G168" s="206"/>
    </row>
    <row r="169" spans="3:7" x14ac:dyDescent="0.35">
      <c r="C169" s="193"/>
      <c r="D169" s="193"/>
      <c r="E169" s="196"/>
      <c r="F169" s="206"/>
      <c r="G169" s="206"/>
    </row>
    <row r="170" spans="3:7" x14ac:dyDescent="0.35">
      <c r="C170" s="193"/>
      <c r="D170" s="193"/>
      <c r="E170" s="196"/>
      <c r="F170" s="206"/>
      <c r="G170" s="206"/>
    </row>
    <row r="171" spans="3:7" x14ac:dyDescent="0.35">
      <c r="C171" s="193"/>
      <c r="D171" s="193"/>
      <c r="E171" s="196"/>
      <c r="F171" s="206"/>
      <c r="G171" s="206"/>
    </row>
    <row r="172" spans="3:7" x14ac:dyDescent="0.35">
      <c r="C172" s="193"/>
      <c r="D172" s="193"/>
      <c r="E172" s="196"/>
      <c r="F172" s="206"/>
      <c r="G172" s="206"/>
    </row>
    <row r="173" spans="3:7" x14ac:dyDescent="0.35">
      <c r="C173" s="193"/>
      <c r="D173" s="193"/>
      <c r="E173" s="196"/>
      <c r="F173" s="206"/>
      <c r="G173" s="206"/>
    </row>
    <row r="174" spans="3:7" x14ac:dyDescent="0.35">
      <c r="C174" s="193"/>
      <c r="D174" s="193"/>
      <c r="E174" s="196"/>
      <c r="F174" s="206"/>
      <c r="G174" s="206"/>
    </row>
    <row r="175" spans="3:7" x14ac:dyDescent="0.35">
      <c r="C175" s="193"/>
      <c r="D175" s="193"/>
      <c r="E175" s="196"/>
      <c r="F175" s="206"/>
      <c r="G175" s="206"/>
    </row>
    <row r="176" spans="3:7" x14ac:dyDescent="0.35">
      <c r="C176" s="193"/>
      <c r="D176" s="193"/>
      <c r="E176" s="196"/>
      <c r="F176" s="206"/>
      <c r="G176" s="206"/>
    </row>
    <row r="177" spans="3:7" x14ac:dyDescent="0.35">
      <c r="C177" s="193"/>
      <c r="D177" s="193"/>
      <c r="E177" s="196"/>
      <c r="F177" s="206"/>
      <c r="G177" s="206"/>
    </row>
    <row r="178" spans="3:7" x14ac:dyDescent="0.35">
      <c r="C178" s="193"/>
      <c r="D178" s="193"/>
      <c r="E178" s="196"/>
      <c r="F178" s="206"/>
      <c r="G178" s="206"/>
    </row>
    <row r="179" spans="3:7" x14ac:dyDescent="0.35">
      <c r="C179" s="193"/>
      <c r="D179" s="193"/>
      <c r="E179" s="196"/>
      <c r="F179" s="206"/>
      <c r="G179" s="206"/>
    </row>
    <row r="180" spans="3:7" x14ac:dyDescent="0.35">
      <c r="C180" s="193"/>
      <c r="D180" s="193"/>
      <c r="E180" s="196"/>
      <c r="F180" s="206"/>
      <c r="G180" s="206"/>
    </row>
    <row r="181" spans="3:7" x14ac:dyDescent="0.35">
      <c r="C181" s="193"/>
      <c r="D181" s="193"/>
      <c r="E181" s="196"/>
      <c r="F181" s="206"/>
      <c r="G181" s="206"/>
    </row>
    <row r="182" spans="3:7" x14ac:dyDescent="0.35">
      <c r="C182" s="193"/>
      <c r="D182" s="193"/>
      <c r="E182" s="196"/>
      <c r="F182" s="206"/>
      <c r="G182" s="206"/>
    </row>
    <row r="183" spans="3:7" x14ac:dyDescent="0.35">
      <c r="C183" s="193"/>
      <c r="D183" s="193"/>
      <c r="E183" s="196"/>
      <c r="F183" s="206"/>
      <c r="G183" s="206"/>
    </row>
    <row r="184" spans="3:7" x14ac:dyDescent="0.35">
      <c r="C184" s="193"/>
      <c r="D184" s="193"/>
      <c r="E184" s="196"/>
      <c r="F184" s="206"/>
      <c r="G184" s="206"/>
    </row>
    <row r="185" spans="3:7" x14ac:dyDescent="0.35">
      <c r="C185" s="193"/>
      <c r="D185" s="193"/>
      <c r="E185" s="196"/>
      <c r="F185" s="206"/>
      <c r="G185" s="206"/>
    </row>
    <row r="186" spans="3:7" x14ac:dyDescent="0.35">
      <c r="C186" s="193"/>
      <c r="D186" s="193"/>
      <c r="E186" s="196"/>
      <c r="F186" s="206"/>
      <c r="G186" s="206"/>
    </row>
    <row r="187" spans="3:7" x14ac:dyDescent="0.35">
      <c r="C187" s="193"/>
      <c r="D187" s="193"/>
      <c r="E187" s="196"/>
      <c r="F187" s="206"/>
      <c r="G187" s="206"/>
    </row>
    <row r="188" spans="3:7" x14ac:dyDescent="0.35">
      <c r="C188" s="193"/>
      <c r="D188" s="193"/>
      <c r="E188" s="196"/>
      <c r="F188" s="206"/>
      <c r="G188" s="206"/>
    </row>
    <row r="189" spans="3:7" x14ac:dyDescent="0.35">
      <c r="C189" s="193"/>
      <c r="D189" s="193"/>
      <c r="E189" s="196"/>
      <c r="F189" s="206"/>
      <c r="G189" s="206"/>
    </row>
    <row r="190" spans="3:7" x14ac:dyDescent="0.35">
      <c r="C190" s="193"/>
      <c r="D190" s="193"/>
      <c r="E190" s="196"/>
      <c r="F190" s="206"/>
      <c r="G190" s="206"/>
    </row>
    <row r="191" spans="3:7" x14ac:dyDescent="0.35">
      <c r="C191" s="193"/>
      <c r="D191" s="193"/>
      <c r="E191" s="196"/>
      <c r="F191" s="206"/>
      <c r="G191" s="206"/>
    </row>
    <row r="192" spans="3:7" x14ac:dyDescent="0.35">
      <c r="C192" s="193"/>
      <c r="D192" s="193"/>
      <c r="E192" s="196"/>
      <c r="F192" s="206"/>
      <c r="G192" s="206"/>
    </row>
    <row r="193" spans="3:7" x14ac:dyDescent="0.35">
      <c r="C193" s="193"/>
      <c r="D193" s="193"/>
      <c r="E193" s="196"/>
      <c r="F193" s="206"/>
      <c r="G193" s="206"/>
    </row>
    <row r="194" spans="3:7" x14ac:dyDescent="0.35">
      <c r="C194" s="193"/>
      <c r="D194" s="193"/>
      <c r="E194" s="196"/>
      <c r="F194" s="206"/>
      <c r="G194" s="206"/>
    </row>
    <row r="195" spans="3:7" x14ac:dyDescent="0.35">
      <c r="C195" s="193"/>
      <c r="D195" s="193"/>
      <c r="E195" s="196"/>
      <c r="F195" s="206"/>
      <c r="G195" s="206"/>
    </row>
    <row r="196" spans="3:7" x14ac:dyDescent="0.35">
      <c r="C196" s="193"/>
      <c r="D196" s="193"/>
      <c r="E196" s="196"/>
      <c r="F196" s="206"/>
      <c r="G196" s="206"/>
    </row>
    <row r="197" spans="3:7" x14ac:dyDescent="0.35">
      <c r="C197" s="193"/>
      <c r="D197" s="193"/>
      <c r="E197" s="196"/>
      <c r="F197" s="206"/>
      <c r="G197" s="206"/>
    </row>
    <row r="198" spans="3:7" x14ac:dyDescent="0.35">
      <c r="C198" s="193"/>
      <c r="D198" s="193"/>
      <c r="E198" s="196"/>
      <c r="F198" s="206"/>
      <c r="G198" s="206"/>
    </row>
    <row r="199" spans="3:7" x14ac:dyDescent="0.35">
      <c r="C199" s="193"/>
      <c r="D199" s="193"/>
      <c r="E199" s="196"/>
      <c r="F199" s="206"/>
      <c r="G199" s="206"/>
    </row>
    <row r="200" spans="3:7" x14ac:dyDescent="0.35">
      <c r="C200" s="193"/>
      <c r="D200" s="193"/>
      <c r="E200" s="196"/>
      <c r="F200" s="206"/>
      <c r="G200" s="206"/>
    </row>
    <row r="201" spans="3:7" x14ac:dyDescent="0.35">
      <c r="C201" s="193"/>
      <c r="D201" s="193"/>
      <c r="E201" s="196"/>
      <c r="F201" s="206"/>
      <c r="G201" s="206"/>
    </row>
    <row r="202" spans="3:7" x14ac:dyDescent="0.35">
      <c r="C202" s="193"/>
      <c r="D202" s="193"/>
      <c r="E202" s="196"/>
      <c r="F202" s="206"/>
      <c r="G202" s="206"/>
    </row>
    <row r="203" spans="3:7" x14ac:dyDescent="0.35">
      <c r="C203" s="193"/>
      <c r="D203" s="193"/>
      <c r="E203" s="196"/>
      <c r="F203" s="206"/>
      <c r="G203" s="206"/>
    </row>
    <row r="204" spans="3:7" x14ac:dyDescent="0.35">
      <c r="C204" s="193"/>
      <c r="D204" s="193"/>
      <c r="E204" s="196"/>
      <c r="F204" s="206"/>
      <c r="G204" s="206"/>
    </row>
    <row r="205" spans="3:7" x14ac:dyDescent="0.35">
      <c r="C205" s="193"/>
      <c r="D205" s="193"/>
      <c r="E205" s="196"/>
      <c r="F205" s="206"/>
      <c r="G205" s="206"/>
    </row>
    <row r="206" spans="3:7" x14ac:dyDescent="0.35">
      <c r="C206" s="193"/>
      <c r="D206" s="193"/>
      <c r="E206" s="196"/>
      <c r="F206" s="206"/>
      <c r="G206" s="206"/>
    </row>
    <row r="207" spans="3:7" x14ac:dyDescent="0.35">
      <c r="C207" s="193"/>
      <c r="D207" s="193"/>
      <c r="E207" s="196"/>
      <c r="F207" s="206"/>
      <c r="G207" s="206"/>
    </row>
    <row r="208" spans="3:7" x14ac:dyDescent="0.35">
      <c r="C208" s="193"/>
      <c r="D208" s="193"/>
      <c r="E208" s="196"/>
      <c r="F208" s="206"/>
      <c r="G208" s="206"/>
    </row>
    <row r="209" spans="3:7" x14ac:dyDescent="0.35">
      <c r="C209" s="193"/>
      <c r="D209" s="193"/>
      <c r="E209" s="196"/>
      <c r="F209" s="206"/>
      <c r="G209" s="206"/>
    </row>
    <row r="210" spans="3:7" x14ac:dyDescent="0.35">
      <c r="C210" s="193"/>
      <c r="D210" s="193"/>
      <c r="E210" s="196"/>
      <c r="F210" s="206"/>
      <c r="G210" s="206"/>
    </row>
    <row r="211" spans="3:7" x14ac:dyDescent="0.35">
      <c r="C211" s="193"/>
      <c r="D211" s="193"/>
      <c r="E211" s="196"/>
      <c r="F211" s="206"/>
      <c r="G211" s="206"/>
    </row>
    <row r="212" spans="3:7" x14ac:dyDescent="0.35">
      <c r="C212" s="193"/>
      <c r="D212" s="193"/>
      <c r="E212" s="196"/>
      <c r="F212" s="206"/>
      <c r="G212" s="206"/>
    </row>
    <row r="213" spans="3:7" x14ac:dyDescent="0.35">
      <c r="C213" s="193"/>
      <c r="D213" s="193"/>
      <c r="E213" s="196"/>
      <c r="F213" s="206"/>
      <c r="G213" s="206"/>
    </row>
    <row r="214" spans="3:7" x14ac:dyDescent="0.35">
      <c r="C214" s="193"/>
      <c r="D214" s="193"/>
      <c r="E214" s="196"/>
      <c r="F214" s="206"/>
      <c r="G214" s="206"/>
    </row>
    <row r="215" spans="3:7" x14ac:dyDescent="0.35">
      <c r="C215" s="193"/>
      <c r="D215" s="193"/>
      <c r="E215" s="196"/>
      <c r="F215" s="206"/>
      <c r="G215" s="206"/>
    </row>
    <row r="216" spans="3:7" x14ac:dyDescent="0.35">
      <c r="C216" s="193"/>
      <c r="D216" s="193"/>
      <c r="E216" s="196"/>
      <c r="F216" s="206"/>
      <c r="G216" s="206"/>
    </row>
    <row r="217" spans="3:7" x14ac:dyDescent="0.35">
      <c r="C217" s="193"/>
      <c r="D217" s="193"/>
      <c r="E217" s="196"/>
      <c r="F217" s="206"/>
      <c r="G217" s="206"/>
    </row>
    <row r="218" spans="3:7" x14ac:dyDescent="0.35">
      <c r="C218" s="193"/>
      <c r="D218" s="193"/>
      <c r="E218" s="196"/>
      <c r="F218" s="206"/>
      <c r="G218" s="206"/>
    </row>
    <row r="219" spans="3:7" x14ac:dyDescent="0.35">
      <c r="C219" s="193"/>
      <c r="D219" s="193"/>
      <c r="E219" s="196"/>
      <c r="F219" s="206"/>
      <c r="G219" s="206"/>
    </row>
    <row r="220" spans="3:7" x14ac:dyDescent="0.35">
      <c r="C220" s="193"/>
      <c r="D220" s="193"/>
      <c r="E220" s="196"/>
      <c r="F220" s="206"/>
      <c r="G220" s="206"/>
    </row>
    <row r="221" spans="3:7" x14ac:dyDescent="0.35">
      <c r="C221" s="193"/>
      <c r="D221" s="193"/>
      <c r="E221" s="196"/>
      <c r="F221" s="206"/>
      <c r="G221" s="206"/>
    </row>
    <row r="222" spans="3:7" x14ac:dyDescent="0.35">
      <c r="C222" s="193"/>
      <c r="D222" s="193"/>
      <c r="E222" s="196"/>
      <c r="F222" s="206"/>
      <c r="G222" s="206"/>
    </row>
    <row r="223" spans="3:7" x14ac:dyDescent="0.35">
      <c r="C223" s="193"/>
      <c r="D223" s="193"/>
      <c r="E223" s="196"/>
      <c r="F223" s="206"/>
      <c r="G223" s="206"/>
    </row>
    <row r="224" spans="3:7" x14ac:dyDescent="0.35">
      <c r="C224" s="193"/>
      <c r="D224" s="193"/>
      <c r="E224" s="196"/>
      <c r="F224" s="206"/>
      <c r="G224" s="206"/>
    </row>
    <row r="225" spans="3:7" x14ac:dyDescent="0.35">
      <c r="C225" s="193"/>
      <c r="D225" s="193"/>
      <c r="E225" s="196"/>
      <c r="F225" s="206"/>
      <c r="G225" s="206"/>
    </row>
    <row r="226" spans="3:7" x14ac:dyDescent="0.35">
      <c r="C226" s="193"/>
      <c r="D226" s="193"/>
      <c r="E226" s="196"/>
      <c r="F226" s="206"/>
      <c r="G226" s="206"/>
    </row>
    <row r="227" spans="3:7" x14ac:dyDescent="0.35">
      <c r="C227" s="193"/>
      <c r="D227" s="193"/>
      <c r="E227" s="196"/>
      <c r="F227" s="206"/>
      <c r="G227" s="206"/>
    </row>
    <row r="228" spans="3:7" x14ac:dyDescent="0.35">
      <c r="C228" s="193"/>
      <c r="D228" s="193"/>
      <c r="E228" s="196"/>
      <c r="F228" s="206"/>
      <c r="G228" s="206"/>
    </row>
    <row r="229" spans="3:7" x14ac:dyDescent="0.35">
      <c r="C229" s="193"/>
      <c r="D229" s="193"/>
      <c r="E229" s="196"/>
      <c r="F229" s="206"/>
      <c r="G229" s="206"/>
    </row>
    <row r="230" spans="3:7" x14ac:dyDescent="0.35">
      <c r="C230" s="193"/>
      <c r="D230" s="193"/>
      <c r="E230" s="196"/>
      <c r="F230" s="206"/>
      <c r="G230" s="206"/>
    </row>
    <row r="231" spans="3:7" x14ac:dyDescent="0.35">
      <c r="C231" s="193"/>
      <c r="D231" s="193"/>
      <c r="E231" s="196"/>
      <c r="F231" s="206"/>
      <c r="G231" s="206"/>
    </row>
    <row r="232" spans="3:7" x14ac:dyDescent="0.35">
      <c r="C232" s="193"/>
      <c r="D232" s="193"/>
      <c r="E232" s="196"/>
      <c r="F232" s="206"/>
      <c r="G232" s="206"/>
    </row>
    <row r="233" spans="3:7" x14ac:dyDescent="0.35">
      <c r="C233" s="193"/>
      <c r="D233" s="193"/>
      <c r="E233" s="196"/>
      <c r="F233" s="206"/>
      <c r="G233" s="206"/>
    </row>
    <row r="234" spans="3:7" x14ac:dyDescent="0.35">
      <c r="C234" s="193"/>
      <c r="D234" s="193"/>
      <c r="E234" s="196"/>
      <c r="F234" s="206"/>
      <c r="G234" s="206"/>
    </row>
    <row r="235" spans="3:7" x14ac:dyDescent="0.35">
      <c r="C235" s="193"/>
      <c r="D235" s="193"/>
      <c r="E235" s="196"/>
      <c r="F235" s="206"/>
      <c r="G235" s="206"/>
    </row>
    <row r="236" spans="3:7" x14ac:dyDescent="0.35">
      <c r="C236" s="193"/>
      <c r="D236" s="193"/>
      <c r="E236" s="196"/>
      <c r="F236" s="206"/>
      <c r="G236" s="206"/>
    </row>
    <row r="237" spans="3:7" x14ac:dyDescent="0.35">
      <c r="C237" s="193"/>
      <c r="D237" s="193"/>
      <c r="E237" s="196"/>
      <c r="F237" s="206"/>
      <c r="G237" s="206"/>
    </row>
    <row r="238" spans="3:7" x14ac:dyDescent="0.35">
      <c r="C238" s="193"/>
      <c r="D238" s="193"/>
      <c r="E238" s="196"/>
      <c r="F238" s="206"/>
      <c r="G238" s="206"/>
    </row>
    <row r="239" spans="3:7" x14ac:dyDescent="0.35">
      <c r="C239" s="193"/>
      <c r="D239" s="193"/>
      <c r="E239" s="196"/>
      <c r="F239" s="206"/>
      <c r="G239" s="206"/>
    </row>
    <row r="240" spans="3:7" x14ac:dyDescent="0.35">
      <c r="C240" s="193"/>
      <c r="D240" s="193"/>
      <c r="E240" s="196"/>
      <c r="F240" s="206"/>
      <c r="G240" s="206"/>
    </row>
    <row r="241" spans="3:7" x14ac:dyDescent="0.35">
      <c r="C241" s="193"/>
      <c r="D241" s="193"/>
      <c r="E241" s="196"/>
      <c r="F241" s="206"/>
      <c r="G241" s="206"/>
    </row>
    <row r="242" spans="3:7" x14ac:dyDescent="0.35">
      <c r="C242" s="193"/>
      <c r="D242" s="193"/>
      <c r="E242" s="196"/>
      <c r="F242" s="206"/>
      <c r="G242" s="206"/>
    </row>
    <row r="243" spans="3:7" x14ac:dyDescent="0.35">
      <c r="C243" s="193"/>
      <c r="D243" s="193"/>
      <c r="E243" s="196"/>
      <c r="F243" s="206"/>
      <c r="G243" s="206"/>
    </row>
    <row r="244" spans="3:7" x14ac:dyDescent="0.35">
      <c r="C244" s="193"/>
      <c r="D244" s="193"/>
      <c r="E244" s="196"/>
      <c r="F244" s="206"/>
      <c r="G244" s="206"/>
    </row>
    <row r="245" spans="3:7" x14ac:dyDescent="0.35">
      <c r="C245" s="193"/>
      <c r="D245" s="193"/>
      <c r="E245" s="196"/>
      <c r="F245" s="206"/>
      <c r="G245" s="206"/>
    </row>
    <row r="246" spans="3:7" x14ac:dyDescent="0.35">
      <c r="C246" s="193"/>
      <c r="D246" s="193"/>
      <c r="E246" s="196"/>
      <c r="F246" s="206"/>
      <c r="G246" s="206"/>
    </row>
    <row r="247" spans="3:7" x14ac:dyDescent="0.35">
      <c r="C247" s="193"/>
      <c r="D247" s="193"/>
      <c r="E247" s="196"/>
      <c r="F247" s="206"/>
      <c r="G247" s="206"/>
    </row>
    <row r="248" spans="3:7" x14ac:dyDescent="0.35">
      <c r="C248" s="193"/>
      <c r="D248" s="193"/>
      <c r="E248" s="196"/>
      <c r="F248" s="206"/>
      <c r="G248" s="206"/>
    </row>
    <row r="249" spans="3:7" x14ac:dyDescent="0.35">
      <c r="C249" s="193"/>
      <c r="D249" s="193"/>
      <c r="E249" s="196"/>
      <c r="F249" s="206"/>
      <c r="G249" s="206"/>
    </row>
    <row r="250" spans="3:7" x14ac:dyDescent="0.35">
      <c r="C250" s="193"/>
      <c r="D250" s="193"/>
      <c r="E250" s="196"/>
      <c r="F250" s="206"/>
      <c r="G250" s="206"/>
    </row>
    <row r="251" spans="3:7" x14ac:dyDescent="0.35">
      <c r="C251" s="193"/>
      <c r="D251" s="193"/>
      <c r="E251" s="196"/>
      <c r="F251" s="206"/>
      <c r="G251" s="206"/>
    </row>
    <row r="252" spans="3:7" x14ac:dyDescent="0.35">
      <c r="C252" s="193"/>
      <c r="D252" s="193"/>
      <c r="E252" s="196"/>
      <c r="F252" s="206"/>
      <c r="G252" s="206"/>
    </row>
    <row r="253" spans="3:7" x14ac:dyDescent="0.35">
      <c r="C253" s="193"/>
      <c r="D253" s="193"/>
      <c r="E253" s="196"/>
      <c r="F253" s="206"/>
      <c r="G253" s="206"/>
    </row>
    <row r="254" spans="3:7" x14ac:dyDescent="0.35">
      <c r="C254" s="193"/>
      <c r="D254" s="193"/>
      <c r="E254" s="196"/>
      <c r="F254" s="206"/>
      <c r="G254" s="206"/>
    </row>
    <row r="255" spans="3:7" x14ac:dyDescent="0.35">
      <c r="C255" s="193"/>
      <c r="D255" s="193"/>
      <c r="E255" s="196"/>
      <c r="F255" s="206"/>
      <c r="G255" s="206"/>
    </row>
    <row r="256" spans="3:7" x14ac:dyDescent="0.35">
      <c r="C256" s="193"/>
      <c r="D256" s="193"/>
      <c r="E256" s="196"/>
      <c r="F256" s="206"/>
      <c r="G256" s="206"/>
    </row>
    <row r="257" spans="3:7" x14ac:dyDescent="0.35">
      <c r="C257" s="193"/>
      <c r="D257" s="193"/>
      <c r="E257" s="196"/>
      <c r="F257" s="206"/>
      <c r="G257" s="206"/>
    </row>
    <row r="258" spans="3:7" x14ac:dyDescent="0.35">
      <c r="C258" s="193"/>
      <c r="D258" s="193"/>
      <c r="E258" s="196"/>
      <c r="F258" s="206"/>
      <c r="G258" s="206"/>
    </row>
    <row r="259" spans="3:7" x14ac:dyDescent="0.35">
      <c r="C259" s="193"/>
      <c r="D259" s="193"/>
      <c r="E259" s="196"/>
      <c r="F259" s="206"/>
      <c r="G259" s="206"/>
    </row>
    <row r="260" spans="3:7" x14ac:dyDescent="0.35">
      <c r="C260" s="193"/>
      <c r="D260" s="193"/>
      <c r="E260" s="196"/>
      <c r="F260" s="206"/>
      <c r="G260" s="206"/>
    </row>
    <row r="261" spans="3:7" x14ac:dyDescent="0.35">
      <c r="C261" s="193"/>
      <c r="D261" s="193"/>
      <c r="E261" s="196"/>
      <c r="F261" s="206"/>
      <c r="G261" s="206"/>
    </row>
    <row r="262" spans="3:7" x14ac:dyDescent="0.35">
      <c r="C262" s="193"/>
      <c r="D262" s="193"/>
      <c r="E262" s="196"/>
      <c r="F262" s="206"/>
      <c r="G262" s="206"/>
    </row>
    <row r="263" spans="3:7" x14ac:dyDescent="0.35">
      <c r="C263" s="193"/>
      <c r="D263" s="193"/>
      <c r="E263" s="196"/>
      <c r="F263" s="206"/>
      <c r="G263" s="206"/>
    </row>
    <row r="264" spans="3:7" x14ac:dyDescent="0.35">
      <c r="C264" s="193"/>
      <c r="D264" s="193"/>
      <c r="E264" s="196"/>
      <c r="F264" s="206"/>
      <c r="G264" s="206"/>
    </row>
    <row r="265" spans="3:7" x14ac:dyDescent="0.35">
      <c r="C265" s="193"/>
      <c r="D265" s="193"/>
      <c r="E265" s="196"/>
      <c r="F265" s="206"/>
      <c r="G265" s="206"/>
    </row>
    <row r="266" spans="3:7" x14ac:dyDescent="0.35">
      <c r="C266" s="193"/>
      <c r="D266" s="193"/>
      <c r="E266" s="196"/>
      <c r="F266" s="206"/>
      <c r="G266" s="206"/>
    </row>
    <row r="267" spans="3:7" x14ac:dyDescent="0.35">
      <c r="C267" s="193"/>
      <c r="D267" s="193"/>
      <c r="E267" s="196"/>
      <c r="F267" s="206"/>
      <c r="G267" s="206"/>
    </row>
    <row r="268" spans="3:7" x14ac:dyDescent="0.35">
      <c r="C268" s="193"/>
      <c r="D268" s="193"/>
      <c r="E268" s="196"/>
      <c r="F268" s="206"/>
      <c r="G268" s="206"/>
    </row>
    <row r="269" spans="3:7" x14ac:dyDescent="0.35">
      <c r="C269" s="193"/>
      <c r="D269" s="193"/>
      <c r="E269" s="196"/>
      <c r="F269" s="206"/>
      <c r="G269" s="206"/>
    </row>
    <row r="270" spans="3:7" x14ac:dyDescent="0.35">
      <c r="C270" s="193"/>
      <c r="D270" s="193"/>
      <c r="E270" s="196"/>
      <c r="F270" s="206"/>
      <c r="G270" s="206"/>
    </row>
    <row r="271" spans="3:7" x14ac:dyDescent="0.35">
      <c r="C271" s="193"/>
      <c r="D271" s="193"/>
      <c r="E271" s="196"/>
      <c r="F271" s="206"/>
      <c r="G271" s="206"/>
    </row>
    <row r="272" spans="3:7" x14ac:dyDescent="0.35">
      <c r="C272" s="193"/>
      <c r="D272" s="193"/>
      <c r="E272" s="196"/>
      <c r="F272" s="206"/>
      <c r="G272" s="206"/>
    </row>
    <row r="273" spans="3:7" x14ac:dyDescent="0.35">
      <c r="C273" s="193"/>
      <c r="D273" s="193"/>
      <c r="E273" s="196"/>
      <c r="F273" s="206"/>
      <c r="G273" s="206"/>
    </row>
    <row r="274" spans="3:7" x14ac:dyDescent="0.35">
      <c r="C274" s="193"/>
      <c r="D274" s="193"/>
      <c r="E274" s="196"/>
      <c r="F274" s="206"/>
      <c r="G274" s="206"/>
    </row>
    <row r="275" spans="3:7" x14ac:dyDescent="0.35">
      <c r="C275" s="193"/>
      <c r="D275" s="193"/>
      <c r="E275" s="196"/>
      <c r="F275" s="206"/>
      <c r="G275" s="206"/>
    </row>
    <row r="276" spans="3:7" x14ac:dyDescent="0.35">
      <c r="C276" s="193"/>
      <c r="D276" s="193"/>
      <c r="E276" s="196"/>
      <c r="F276" s="206"/>
      <c r="G276" s="206"/>
    </row>
    <row r="277" spans="3:7" x14ac:dyDescent="0.35">
      <c r="C277" s="193"/>
      <c r="D277" s="193"/>
      <c r="E277" s="196"/>
      <c r="F277" s="206"/>
      <c r="G277" s="206"/>
    </row>
    <row r="278" spans="3:7" x14ac:dyDescent="0.35">
      <c r="C278" s="193"/>
      <c r="D278" s="193"/>
      <c r="E278" s="196"/>
      <c r="F278" s="206"/>
      <c r="G278" s="206"/>
    </row>
    <row r="279" spans="3:7" x14ac:dyDescent="0.35">
      <c r="C279" s="193"/>
      <c r="D279" s="193"/>
      <c r="E279" s="196"/>
      <c r="F279" s="206"/>
      <c r="G279" s="206"/>
    </row>
    <row r="280" spans="3:7" x14ac:dyDescent="0.35">
      <c r="C280" s="193"/>
      <c r="D280" s="193"/>
      <c r="E280" s="196"/>
      <c r="F280" s="206"/>
      <c r="G280" s="206"/>
    </row>
    <row r="281" spans="3:7" x14ac:dyDescent="0.35">
      <c r="C281" s="193"/>
      <c r="D281" s="193"/>
      <c r="E281" s="196"/>
      <c r="F281" s="206"/>
      <c r="G281" s="206"/>
    </row>
    <row r="282" spans="3:7" x14ac:dyDescent="0.35">
      <c r="C282" s="193"/>
      <c r="D282" s="193"/>
      <c r="E282" s="196"/>
      <c r="F282" s="206"/>
      <c r="G282" s="206"/>
    </row>
    <row r="283" spans="3:7" x14ac:dyDescent="0.35">
      <c r="C283" s="193"/>
      <c r="D283" s="193"/>
      <c r="E283" s="196"/>
      <c r="F283" s="206"/>
      <c r="G283" s="206"/>
    </row>
    <row r="284" spans="3:7" x14ac:dyDescent="0.35">
      <c r="C284" s="193"/>
      <c r="D284" s="193"/>
      <c r="E284" s="196"/>
      <c r="F284" s="206"/>
      <c r="G284" s="206"/>
    </row>
    <row r="285" spans="3:7" x14ac:dyDescent="0.35">
      <c r="C285" s="193"/>
      <c r="D285" s="193"/>
      <c r="E285" s="196"/>
      <c r="F285" s="206"/>
      <c r="G285" s="206"/>
    </row>
    <row r="286" spans="3:7" x14ac:dyDescent="0.35">
      <c r="C286" s="193"/>
      <c r="D286" s="193"/>
      <c r="E286" s="196"/>
      <c r="F286" s="206"/>
      <c r="G286" s="206"/>
    </row>
    <row r="287" spans="3:7" x14ac:dyDescent="0.35">
      <c r="C287" s="193"/>
      <c r="D287" s="193"/>
      <c r="E287" s="196"/>
      <c r="F287" s="206"/>
      <c r="G287" s="206"/>
    </row>
    <row r="288" spans="3:7" x14ac:dyDescent="0.35">
      <c r="C288" s="193"/>
      <c r="D288" s="193"/>
      <c r="E288" s="196"/>
      <c r="F288" s="206"/>
      <c r="G288" s="206"/>
    </row>
    <row r="289" spans="3:7" x14ac:dyDescent="0.35">
      <c r="C289" s="193"/>
      <c r="D289" s="193"/>
      <c r="E289" s="196"/>
      <c r="F289" s="206"/>
      <c r="G289" s="206"/>
    </row>
    <row r="290" spans="3:7" x14ac:dyDescent="0.35">
      <c r="C290" s="193"/>
      <c r="D290" s="193"/>
      <c r="E290" s="196"/>
      <c r="F290" s="206"/>
      <c r="G290" s="206"/>
    </row>
    <row r="291" spans="3:7" x14ac:dyDescent="0.35">
      <c r="C291" s="193"/>
      <c r="D291" s="193"/>
      <c r="E291" s="196"/>
      <c r="F291" s="206"/>
      <c r="G291" s="206"/>
    </row>
    <row r="292" spans="3:7" x14ac:dyDescent="0.35">
      <c r="C292" s="193"/>
      <c r="D292" s="193"/>
      <c r="E292" s="196"/>
      <c r="F292" s="206"/>
      <c r="G292" s="206"/>
    </row>
    <row r="293" spans="3:7" x14ac:dyDescent="0.35">
      <c r="C293" s="193"/>
      <c r="D293" s="193"/>
      <c r="E293" s="196"/>
      <c r="F293" s="206"/>
      <c r="G293" s="206"/>
    </row>
    <row r="294" spans="3:7" x14ac:dyDescent="0.35">
      <c r="C294" s="193"/>
      <c r="D294" s="193"/>
      <c r="E294" s="196"/>
      <c r="F294" s="206"/>
      <c r="G294" s="206"/>
    </row>
    <row r="295" spans="3:7" x14ac:dyDescent="0.35">
      <c r="C295" s="193"/>
      <c r="D295" s="193"/>
      <c r="E295" s="196"/>
      <c r="F295" s="206"/>
      <c r="G295" s="206"/>
    </row>
    <row r="296" spans="3:7" x14ac:dyDescent="0.35">
      <c r="C296" s="193"/>
      <c r="D296" s="193"/>
      <c r="E296" s="196"/>
      <c r="F296" s="206"/>
      <c r="G296" s="206"/>
    </row>
    <row r="297" spans="3:7" x14ac:dyDescent="0.35">
      <c r="C297" s="193"/>
      <c r="D297" s="193"/>
      <c r="E297" s="196"/>
      <c r="F297" s="206"/>
      <c r="G297" s="206"/>
    </row>
    <row r="298" spans="3:7" x14ac:dyDescent="0.35">
      <c r="C298" s="193"/>
      <c r="D298" s="193"/>
      <c r="E298" s="196"/>
      <c r="F298" s="206"/>
      <c r="G298" s="206"/>
    </row>
    <row r="299" spans="3:7" x14ac:dyDescent="0.35">
      <c r="C299" s="193"/>
      <c r="D299" s="193"/>
      <c r="E299" s="196"/>
      <c r="F299" s="206"/>
      <c r="G299" s="206"/>
    </row>
    <row r="300" spans="3:7" x14ac:dyDescent="0.35">
      <c r="C300" s="193"/>
      <c r="D300" s="193"/>
      <c r="E300" s="196"/>
      <c r="F300" s="206"/>
      <c r="G300" s="206"/>
    </row>
    <row r="301" spans="3:7" x14ac:dyDescent="0.35">
      <c r="C301" s="193"/>
      <c r="D301" s="193"/>
      <c r="E301" s="196"/>
      <c r="F301" s="206"/>
      <c r="G301" s="206"/>
    </row>
    <row r="302" spans="3:7" x14ac:dyDescent="0.35">
      <c r="C302" s="193"/>
      <c r="D302" s="193"/>
      <c r="E302" s="196"/>
      <c r="F302" s="206"/>
      <c r="G302" s="206"/>
    </row>
    <row r="303" spans="3:7" x14ac:dyDescent="0.35">
      <c r="C303" s="193"/>
      <c r="D303" s="193"/>
      <c r="E303" s="196"/>
      <c r="F303" s="206"/>
      <c r="G303" s="206"/>
    </row>
    <row r="304" spans="3:7" x14ac:dyDescent="0.35">
      <c r="C304" s="193"/>
      <c r="D304" s="193"/>
      <c r="E304" s="196"/>
      <c r="F304" s="206"/>
      <c r="G304" s="206"/>
    </row>
    <row r="305" spans="3:7" x14ac:dyDescent="0.35">
      <c r="C305" s="193"/>
      <c r="D305" s="193"/>
      <c r="E305" s="196"/>
      <c r="F305" s="206"/>
      <c r="G305" s="206"/>
    </row>
    <row r="306" spans="3:7" x14ac:dyDescent="0.35">
      <c r="C306" s="193"/>
      <c r="D306" s="193"/>
      <c r="E306" s="196"/>
      <c r="F306" s="206"/>
      <c r="G306" s="206"/>
    </row>
    <row r="307" spans="3:7" x14ac:dyDescent="0.35">
      <c r="C307" s="193"/>
      <c r="D307" s="193"/>
      <c r="E307" s="196"/>
      <c r="F307" s="206"/>
      <c r="G307" s="206"/>
    </row>
    <row r="308" spans="3:7" x14ac:dyDescent="0.35">
      <c r="C308" s="193"/>
      <c r="D308" s="193"/>
      <c r="E308" s="196"/>
      <c r="F308" s="206"/>
      <c r="G308" s="206"/>
    </row>
    <row r="309" spans="3:7" x14ac:dyDescent="0.35">
      <c r="C309" s="193"/>
      <c r="D309" s="193"/>
      <c r="E309" s="196"/>
      <c r="F309" s="206"/>
      <c r="G309" s="206"/>
    </row>
    <row r="310" spans="3:7" x14ac:dyDescent="0.35">
      <c r="C310" s="193"/>
      <c r="D310" s="193"/>
      <c r="E310" s="196"/>
      <c r="F310" s="206"/>
      <c r="G310" s="206"/>
    </row>
    <row r="311" spans="3:7" x14ac:dyDescent="0.35">
      <c r="C311" s="193"/>
      <c r="D311" s="193"/>
      <c r="E311" s="196"/>
      <c r="F311" s="206"/>
      <c r="G311" s="206"/>
    </row>
    <row r="312" spans="3:7" x14ac:dyDescent="0.35">
      <c r="C312" s="193"/>
      <c r="D312" s="193"/>
      <c r="E312" s="196"/>
      <c r="F312" s="206"/>
      <c r="G312" s="206"/>
    </row>
    <row r="313" spans="3:7" x14ac:dyDescent="0.35">
      <c r="C313" s="193"/>
      <c r="D313" s="193"/>
      <c r="E313" s="196"/>
      <c r="F313" s="206"/>
      <c r="G313" s="206"/>
    </row>
    <row r="314" spans="3:7" x14ac:dyDescent="0.35">
      <c r="C314" s="193"/>
      <c r="D314" s="193"/>
      <c r="E314" s="196"/>
      <c r="F314" s="206"/>
      <c r="G314" s="206"/>
    </row>
    <row r="315" spans="3:7" x14ac:dyDescent="0.35">
      <c r="C315" s="193"/>
      <c r="D315" s="193"/>
      <c r="E315" s="196"/>
      <c r="F315" s="206"/>
      <c r="G315" s="206"/>
    </row>
    <row r="316" spans="3:7" x14ac:dyDescent="0.35">
      <c r="C316" s="193"/>
      <c r="D316" s="193"/>
      <c r="E316" s="196"/>
      <c r="F316" s="206"/>
      <c r="G316" s="206"/>
    </row>
    <row r="317" spans="3:7" x14ac:dyDescent="0.35">
      <c r="C317" s="193"/>
      <c r="D317" s="193"/>
      <c r="E317" s="196"/>
      <c r="F317" s="206"/>
      <c r="G317" s="206"/>
    </row>
    <row r="318" spans="3:7" x14ac:dyDescent="0.35">
      <c r="C318" s="193"/>
      <c r="D318" s="193"/>
      <c r="E318" s="196"/>
      <c r="F318" s="206"/>
      <c r="G318" s="206"/>
    </row>
    <row r="319" spans="3:7" x14ac:dyDescent="0.35">
      <c r="C319" s="193"/>
      <c r="D319" s="193"/>
      <c r="E319" s="196"/>
      <c r="F319" s="206"/>
      <c r="G319" s="206"/>
    </row>
    <row r="320" spans="3:7" x14ac:dyDescent="0.35">
      <c r="C320" s="193"/>
      <c r="D320" s="193"/>
      <c r="E320" s="196"/>
      <c r="F320" s="206"/>
      <c r="G320" s="206"/>
    </row>
    <row r="321" spans="3:7" x14ac:dyDescent="0.35">
      <c r="C321" s="193"/>
      <c r="D321" s="193"/>
      <c r="E321" s="196"/>
      <c r="F321" s="206"/>
      <c r="G321" s="206"/>
    </row>
    <row r="322" spans="3:7" x14ac:dyDescent="0.35">
      <c r="C322" s="193"/>
      <c r="D322" s="193"/>
      <c r="E322" s="196"/>
      <c r="F322" s="206"/>
      <c r="G322" s="206"/>
    </row>
    <row r="323" spans="3:7" x14ac:dyDescent="0.35">
      <c r="C323" s="193"/>
      <c r="D323" s="193"/>
      <c r="E323" s="196"/>
      <c r="F323" s="206"/>
      <c r="G323" s="206"/>
    </row>
    <row r="324" spans="3:7" x14ac:dyDescent="0.35">
      <c r="C324" s="193"/>
      <c r="D324" s="193"/>
      <c r="E324" s="196"/>
      <c r="F324" s="206"/>
      <c r="G324" s="206"/>
    </row>
    <row r="325" spans="3:7" x14ac:dyDescent="0.35">
      <c r="C325" s="193"/>
      <c r="D325" s="193"/>
      <c r="E325" s="196"/>
      <c r="F325" s="206"/>
      <c r="G325" s="206"/>
    </row>
    <row r="326" spans="3:7" x14ac:dyDescent="0.35">
      <c r="C326" s="193"/>
      <c r="D326" s="193"/>
      <c r="E326" s="196"/>
      <c r="F326" s="206"/>
      <c r="G326" s="206"/>
    </row>
    <row r="327" spans="3:7" x14ac:dyDescent="0.35">
      <c r="C327" s="193"/>
      <c r="D327" s="193"/>
      <c r="E327" s="196"/>
      <c r="F327" s="206"/>
      <c r="G327" s="206"/>
    </row>
    <row r="328" spans="3:7" x14ac:dyDescent="0.35">
      <c r="C328" s="193"/>
      <c r="D328" s="193"/>
      <c r="E328" s="196"/>
      <c r="F328" s="206"/>
      <c r="G328" s="206"/>
    </row>
    <row r="329" spans="3:7" x14ac:dyDescent="0.35">
      <c r="C329" s="193"/>
      <c r="D329" s="193"/>
      <c r="E329" s="196"/>
      <c r="F329" s="206"/>
      <c r="G329" s="206"/>
    </row>
    <row r="330" spans="3:7" x14ac:dyDescent="0.35">
      <c r="C330" s="193"/>
      <c r="D330" s="193"/>
      <c r="E330" s="196"/>
      <c r="F330" s="206"/>
      <c r="G330" s="206"/>
    </row>
    <row r="331" spans="3:7" x14ac:dyDescent="0.35">
      <c r="C331" s="193"/>
      <c r="D331" s="193"/>
      <c r="E331" s="196"/>
      <c r="F331" s="206"/>
      <c r="G331" s="206"/>
    </row>
    <row r="332" spans="3:7" x14ac:dyDescent="0.35">
      <c r="C332" s="193"/>
      <c r="D332" s="193"/>
      <c r="E332" s="196"/>
      <c r="F332" s="206"/>
      <c r="G332" s="206"/>
    </row>
    <row r="333" spans="3:7" x14ac:dyDescent="0.35">
      <c r="C333" s="193"/>
      <c r="D333" s="193"/>
      <c r="E333" s="196"/>
      <c r="F333" s="206"/>
      <c r="G333" s="206"/>
    </row>
    <row r="334" spans="3:7" x14ac:dyDescent="0.35">
      <c r="C334" s="193"/>
      <c r="D334" s="193"/>
      <c r="E334" s="196"/>
      <c r="F334" s="206"/>
      <c r="G334" s="206"/>
    </row>
    <row r="335" spans="3:7" x14ac:dyDescent="0.35">
      <c r="C335" s="193"/>
      <c r="D335" s="193"/>
      <c r="E335" s="196"/>
      <c r="F335" s="206"/>
      <c r="G335" s="206"/>
    </row>
    <row r="336" spans="3:7" x14ac:dyDescent="0.35">
      <c r="C336" s="193"/>
      <c r="D336" s="193"/>
      <c r="E336" s="196"/>
      <c r="F336" s="206"/>
      <c r="G336" s="206"/>
    </row>
    <row r="337" spans="3:7" x14ac:dyDescent="0.35">
      <c r="C337" s="193"/>
      <c r="D337" s="193"/>
      <c r="E337" s="196"/>
      <c r="F337" s="206"/>
      <c r="G337" s="206"/>
    </row>
    <row r="338" spans="3:7" x14ac:dyDescent="0.35">
      <c r="C338" s="193"/>
      <c r="D338" s="193"/>
      <c r="E338" s="196"/>
      <c r="F338" s="206"/>
      <c r="G338" s="206"/>
    </row>
    <row r="339" spans="3:7" x14ac:dyDescent="0.35">
      <c r="C339" s="193"/>
      <c r="D339" s="193"/>
      <c r="E339" s="196"/>
      <c r="F339" s="206"/>
      <c r="G339" s="206"/>
    </row>
    <row r="340" spans="3:7" x14ac:dyDescent="0.35">
      <c r="C340" s="193"/>
      <c r="D340" s="193"/>
      <c r="E340" s="196"/>
      <c r="F340" s="206"/>
      <c r="G340" s="206"/>
    </row>
    <row r="341" spans="3:7" x14ac:dyDescent="0.35">
      <c r="C341" s="193"/>
      <c r="D341" s="193"/>
      <c r="E341" s="196"/>
      <c r="F341" s="206"/>
      <c r="G341" s="206"/>
    </row>
    <row r="342" spans="3:7" x14ac:dyDescent="0.35">
      <c r="C342" s="193"/>
      <c r="D342" s="193"/>
      <c r="E342" s="196"/>
      <c r="F342" s="206"/>
      <c r="G342" s="206"/>
    </row>
    <row r="343" spans="3:7" x14ac:dyDescent="0.35">
      <c r="C343" s="193"/>
      <c r="D343" s="193"/>
      <c r="E343" s="196"/>
      <c r="F343" s="206"/>
      <c r="G343" s="206"/>
    </row>
    <row r="344" spans="3:7" x14ac:dyDescent="0.35">
      <c r="C344" s="193"/>
      <c r="D344" s="193"/>
      <c r="E344" s="196"/>
      <c r="F344" s="206"/>
      <c r="G344" s="206"/>
    </row>
    <row r="345" spans="3:7" x14ac:dyDescent="0.35">
      <c r="C345" s="193"/>
      <c r="D345" s="193"/>
      <c r="E345" s="196"/>
      <c r="F345" s="206"/>
      <c r="G345" s="206"/>
    </row>
    <row r="346" spans="3:7" x14ac:dyDescent="0.35">
      <c r="C346" s="193"/>
      <c r="D346" s="193"/>
      <c r="E346" s="196"/>
      <c r="F346" s="206"/>
      <c r="G346" s="206"/>
    </row>
    <row r="347" spans="3:7" x14ac:dyDescent="0.35">
      <c r="C347" s="193"/>
      <c r="D347" s="193"/>
      <c r="E347" s="196"/>
      <c r="F347" s="206"/>
      <c r="G347" s="206"/>
    </row>
    <row r="348" spans="3:7" x14ac:dyDescent="0.35">
      <c r="C348" s="193"/>
      <c r="D348" s="193"/>
      <c r="E348" s="196"/>
      <c r="F348" s="206"/>
      <c r="G348" s="206"/>
    </row>
    <row r="349" spans="3:7" x14ac:dyDescent="0.35">
      <c r="C349" s="193"/>
      <c r="D349" s="193"/>
      <c r="E349" s="196"/>
      <c r="F349" s="206"/>
      <c r="G349" s="206"/>
    </row>
    <row r="350" spans="3:7" x14ac:dyDescent="0.35">
      <c r="C350" s="193"/>
      <c r="D350" s="193"/>
      <c r="E350" s="196"/>
      <c r="F350" s="206"/>
      <c r="G350" s="206"/>
    </row>
    <row r="351" spans="3:7" x14ac:dyDescent="0.35">
      <c r="C351" s="193"/>
      <c r="D351" s="193"/>
      <c r="E351" s="196"/>
      <c r="F351" s="206"/>
      <c r="G351" s="206"/>
    </row>
    <row r="352" spans="3:7" x14ac:dyDescent="0.35">
      <c r="C352" s="193"/>
      <c r="D352" s="193"/>
      <c r="E352" s="196"/>
      <c r="F352" s="206"/>
      <c r="G352" s="206"/>
    </row>
    <row r="353" spans="3:7" x14ac:dyDescent="0.35">
      <c r="C353" s="193"/>
      <c r="D353" s="193"/>
      <c r="E353" s="196"/>
      <c r="F353" s="206"/>
      <c r="G353" s="206"/>
    </row>
    <row r="354" spans="3:7" x14ac:dyDescent="0.35">
      <c r="C354" s="193"/>
      <c r="D354" s="193"/>
      <c r="E354" s="196"/>
      <c r="F354" s="206"/>
      <c r="G354" s="206"/>
    </row>
    <row r="355" spans="3:7" x14ac:dyDescent="0.35">
      <c r="C355" s="193"/>
      <c r="D355" s="193"/>
      <c r="E355" s="196"/>
      <c r="F355" s="206"/>
      <c r="G355" s="206"/>
    </row>
    <row r="356" spans="3:7" x14ac:dyDescent="0.35">
      <c r="C356" s="193"/>
      <c r="D356" s="193"/>
      <c r="E356" s="196"/>
      <c r="F356" s="206"/>
      <c r="G356" s="206"/>
    </row>
    <row r="357" spans="3:7" x14ac:dyDescent="0.35">
      <c r="C357" s="193"/>
      <c r="D357" s="193"/>
      <c r="E357" s="196"/>
      <c r="F357" s="206"/>
      <c r="G357" s="206"/>
    </row>
    <row r="358" spans="3:7" x14ac:dyDescent="0.35">
      <c r="C358" s="193"/>
      <c r="D358" s="193"/>
      <c r="E358" s="196"/>
      <c r="F358" s="206"/>
      <c r="G358" s="206"/>
    </row>
    <row r="359" spans="3:7" x14ac:dyDescent="0.35">
      <c r="C359" s="193"/>
      <c r="D359" s="193"/>
      <c r="E359" s="196"/>
      <c r="F359" s="206"/>
      <c r="G359" s="206"/>
    </row>
    <row r="360" spans="3:7" x14ac:dyDescent="0.35">
      <c r="C360" s="193"/>
      <c r="D360" s="193"/>
      <c r="E360" s="196"/>
      <c r="F360" s="206"/>
      <c r="G360" s="206"/>
    </row>
    <row r="361" spans="3:7" x14ac:dyDescent="0.35">
      <c r="C361" s="193"/>
      <c r="D361" s="193"/>
      <c r="E361" s="196"/>
      <c r="F361" s="206"/>
      <c r="G361" s="206"/>
    </row>
    <row r="362" spans="3:7" x14ac:dyDescent="0.35">
      <c r="C362" s="193"/>
      <c r="D362" s="193"/>
      <c r="E362" s="196"/>
      <c r="F362" s="206"/>
      <c r="G362" s="206"/>
    </row>
    <row r="363" spans="3:7" x14ac:dyDescent="0.35">
      <c r="C363" s="193"/>
      <c r="D363" s="193"/>
      <c r="E363" s="196"/>
      <c r="F363" s="206"/>
      <c r="G363" s="206"/>
    </row>
    <row r="364" spans="3:7" x14ac:dyDescent="0.35">
      <c r="C364" s="193"/>
      <c r="D364" s="193"/>
      <c r="E364" s="196"/>
      <c r="F364" s="206"/>
      <c r="G364" s="206"/>
    </row>
    <row r="365" spans="3:7" x14ac:dyDescent="0.35">
      <c r="C365" s="193"/>
      <c r="D365" s="193"/>
      <c r="E365" s="196"/>
      <c r="F365" s="206"/>
      <c r="G365" s="206"/>
    </row>
    <row r="366" spans="3:7" x14ac:dyDescent="0.35">
      <c r="C366" s="193"/>
      <c r="D366" s="193"/>
      <c r="E366" s="196"/>
      <c r="F366" s="206"/>
      <c r="G366" s="206"/>
    </row>
    <row r="367" spans="3:7" x14ac:dyDescent="0.35">
      <c r="C367" s="193"/>
      <c r="D367" s="193"/>
      <c r="E367" s="196"/>
      <c r="F367" s="206"/>
      <c r="G367" s="206"/>
    </row>
    <row r="368" spans="3:7" x14ac:dyDescent="0.35">
      <c r="C368" s="193"/>
      <c r="D368" s="193"/>
      <c r="E368" s="196"/>
      <c r="F368" s="206"/>
      <c r="G368" s="206"/>
    </row>
    <row r="369" spans="3:7" x14ac:dyDescent="0.35">
      <c r="C369" s="193"/>
      <c r="D369" s="193"/>
      <c r="E369" s="196"/>
      <c r="F369" s="206"/>
      <c r="G369" s="206"/>
    </row>
    <row r="370" spans="3:7" x14ac:dyDescent="0.35">
      <c r="C370" s="193"/>
      <c r="D370" s="193"/>
      <c r="E370" s="196"/>
      <c r="F370" s="206"/>
      <c r="G370" s="206"/>
    </row>
    <row r="371" spans="3:7" x14ac:dyDescent="0.35">
      <c r="C371" s="193"/>
      <c r="D371" s="193"/>
      <c r="E371" s="196"/>
      <c r="F371" s="206"/>
      <c r="G371" s="206"/>
    </row>
    <row r="372" spans="3:7" x14ac:dyDescent="0.35">
      <c r="C372" s="193"/>
      <c r="D372" s="193"/>
      <c r="E372" s="196"/>
      <c r="F372" s="206"/>
      <c r="G372" s="206"/>
    </row>
    <row r="373" spans="3:7" x14ac:dyDescent="0.35">
      <c r="C373" s="193"/>
      <c r="D373" s="193"/>
      <c r="E373" s="196"/>
      <c r="F373" s="206"/>
      <c r="G373" s="206"/>
    </row>
    <row r="374" spans="3:7" x14ac:dyDescent="0.35">
      <c r="C374" s="193"/>
      <c r="D374" s="193"/>
      <c r="E374" s="196"/>
      <c r="F374" s="206"/>
      <c r="G374" s="206"/>
    </row>
    <row r="375" spans="3:7" x14ac:dyDescent="0.35">
      <c r="C375" s="193"/>
      <c r="D375" s="193"/>
      <c r="E375" s="196"/>
      <c r="F375" s="206"/>
      <c r="G375" s="206"/>
    </row>
    <row r="376" spans="3:7" x14ac:dyDescent="0.35">
      <c r="C376" s="193"/>
      <c r="D376" s="193"/>
      <c r="E376" s="196"/>
      <c r="F376" s="206"/>
      <c r="G376" s="206"/>
    </row>
    <row r="377" spans="3:7" x14ac:dyDescent="0.35">
      <c r="C377" s="193"/>
      <c r="D377" s="193"/>
      <c r="E377" s="196"/>
      <c r="F377" s="206"/>
      <c r="G377" s="206"/>
    </row>
    <row r="378" spans="3:7" x14ac:dyDescent="0.35">
      <c r="C378" s="193"/>
      <c r="D378" s="193"/>
      <c r="E378" s="196"/>
      <c r="F378" s="206"/>
      <c r="G378" s="206"/>
    </row>
    <row r="379" spans="3:7" x14ac:dyDescent="0.35">
      <c r="C379" s="193"/>
      <c r="D379" s="193"/>
      <c r="E379" s="196"/>
      <c r="F379" s="206"/>
      <c r="G379" s="206"/>
    </row>
    <row r="380" spans="3:7" x14ac:dyDescent="0.35">
      <c r="C380" s="193"/>
      <c r="D380" s="193"/>
      <c r="E380" s="196"/>
      <c r="F380" s="206"/>
      <c r="G380" s="206"/>
    </row>
    <row r="381" spans="3:7" x14ac:dyDescent="0.35">
      <c r="C381" s="193"/>
      <c r="D381" s="193"/>
      <c r="E381" s="196"/>
      <c r="F381" s="206"/>
      <c r="G381" s="206"/>
    </row>
    <row r="382" spans="3:7" x14ac:dyDescent="0.35">
      <c r="C382" s="193"/>
      <c r="D382" s="193"/>
      <c r="E382" s="196"/>
      <c r="F382" s="206"/>
      <c r="G382" s="206"/>
    </row>
    <row r="383" spans="3:7" x14ac:dyDescent="0.35">
      <c r="C383" s="193"/>
      <c r="D383" s="193"/>
      <c r="E383" s="196"/>
      <c r="F383" s="206"/>
      <c r="G383" s="206"/>
    </row>
    <row r="384" spans="3:7" x14ac:dyDescent="0.35">
      <c r="C384" s="193"/>
      <c r="D384" s="193"/>
      <c r="E384" s="196"/>
      <c r="F384" s="206"/>
      <c r="G384" s="206"/>
    </row>
    <row r="385" spans="3:7" x14ac:dyDescent="0.35">
      <c r="C385" s="193"/>
      <c r="D385" s="193"/>
      <c r="E385" s="196"/>
      <c r="F385" s="206"/>
      <c r="G385" s="206"/>
    </row>
    <row r="386" spans="3:7" x14ac:dyDescent="0.35">
      <c r="C386" s="193"/>
      <c r="D386" s="193"/>
      <c r="E386" s="196"/>
      <c r="F386" s="206"/>
      <c r="G386" s="206"/>
    </row>
    <row r="387" spans="3:7" x14ac:dyDescent="0.35">
      <c r="C387" s="193"/>
      <c r="D387" s="193"/>
      <c r="E387" s="196"/>
      <c r="F387" s="206"/>
      <c r="G387" s="206"/>
    </row>
    <row r="388" spans="3:7" x14ac:dyDescent="0.35">
      <c r="C388" s="193"/>
      <c r="D388" s="193"/>
      <c r="E388" s="196"/>
      <c r="F388" s="206"/>
      <c r="G388" s="206"/>
    </row>
    <row r="389" spans="3:7" x14ac:dyDescent="0.35">
      <c r="C389" s="193"/>
      <c r="D389" s="193"/>
      <c r="E389" s="196"/>
      <c r="F389" s="206"/>
      <c r="G389" s="206"/>
    </row>
    <row r="390" spans="3:7" x14ac:dyDescent="0.35">
      <c r="C390" s="193"/>
      <c r="D390" s="193"/>
      <c r="E390" s="196"/>
      <c r="F390" s="206"/>
      <c r="G390" s="206"/>
    </row>
    <row r="391" spans="3:7" x14ac:dyDescent="0.35">
      <c r="C391" s="193"/>
      <c r="D391" s="193"/>
      <c r="E391" s="196"/>
      <c r="F391" s="206"/>
      <c r="G391" s="206"/>
    </row>
    <row r="392" spans="3:7" x14ac:dyDescent="0.35">
      <c r="C392" s="193"/>
      <c r="D392" s="193"/>
      <c r="E392" s="196"/>
      <c r="F392" s="206"/>
      <c r="G392" s="206"/>
    </row>
    <row r="393" spans="3:7" x14ac:dyDescent="0.35">
      <c r="C393" s="193"/>
      <c r="D393" s="193"/>
      <c r="E393" s="196"/>
      <c r="F393" s="206"/>
      <c r="G393" s="206"/>
    </row>
    <row r="394" spans="3:7" x14ac:dyDescent="0.35">
      <c r="C394" s="193"/>
      <c r="D394" s="193"/>
      <c r="E394" s="196"/>
      <c r="F394" s="206"/>
      <c r="G394" s="206"/>
    </row>
    <row r="395" spans="3:7" x14ac:dyDescent="0.35">
      <c r="C395" s="193"/>
      <c r="D395" s="193"/>
      <c r="E395" s="196"/>
      <c r="F395" s="206"/>
      <c r="G395" s="206"/>
    </row>
    <row r="396" spans="3:7" x14ac:dyDescent="0.35">
      <c r="C396" s="193"/>
      <c r="D396" s="193"/>
      <c r="E396" s="196"/>
      <c r="F396" s="206"/>
      <c r="G396" s="206"/>
    </row>
    <row r="397" spans="3:7" x14ac:dyDescent="0.35">
      <c r="C397" s="193"/>
      <c r="D397" s="193"/>
      <c r="E397" s="196"/>
      <c r="F397" s="206"/>
      <c r="G397" s="206"/>
    </row>
    <row r="398" spans="3:7" x14ac:dyDescent="0.35">
      <c r="C398" s="193"/>
      <c r="D398" s="193"/>
      <c r="E398" s="196"/>
      <c r="F398" s="206"/>
      <c r="G398" s="206"/>
    </row>
    <row r="399" spans="3:7" x14ac:dyDescent="0.35">
      <c r="C399" s="193"/>
      <c r="D399" s="193"/>
      <c r="E399" s="196"/>
      <c r="F399" s="206"/>
      <c r="G399" s="206"/>
    </row>
    <row r="400" spans="3:7" x14ac:dyDescent="0.35">
      <c r="C400" s="193"/>
      <c r="D400" s="193"/>
      <c r="E400" s="196"/>
      <c r="F400" s="206"/>
      <c r="G400" s="206"/>
    </row>
    <row r="401" spans="3:7" x14ac:dyDescent="0.35">
      <c r="C401" s="193"/>
      <c r="D401" s="193"/>
      <c r="E401" s="196"/>
      <c r="F401" s="206"/>
      <c r="G401" s="206"/>
    </row>
    <row r="402" spans="3:7" x14ac:dyDescent="0.35">
      <c r="C402" s="193"/>
      <c r="D402" s="193"/>
      <c r="E402" s="196"/>
      <c r="F402" s="206"/>
      <c r="G402" s="206"/>
    </row>
    <row r="403" spans="3:7" x14ac:dyDescent="0.35">
      <c r="C403" s="193"/>
      <c r="D403" s="193"/>
      <c r="E403" s="196"/>
      <c r="F403" s="206"/>
      <c r="G403" s="206"/>
    </row>
    <row r="404" spans="3:7" x14ac:dyDescent="0.35">
      <c r="C404" s="193"/>
      <c r="D404" s="193"/>
      <c r="E404" s="196"/>
      <c r="F404" s="206"/>
      <c r="G404" s="206"/>
    </row>
    <row r="405" spans="3:7" x14ac:dyDescent="0.35">
      <c r="C405" s="193"/>
      <c r="D405" s="193"/>
      <c r="E405" s="196"/>
      <c r="F405" s="206"/>
      <c r="G405" s="206"/>
    </row>
    <row r="406" spans="3:7" x14ac:dyDescent="0.35">
      <c r="C406" s="193"/>
      <c r="D406" s="193"/>
      <c r="E406" s="196"/>
      <c r="F406" s="206"/>
      <c r="G406" s="206"/>
    </row>
    <row r="407" spans="3:7" x14ac:dyDescent="0.35">
      <c r="C407" s="193"/>
      <c r="D407" s="193"/>
      <c r="E407" s="196"/>
      <c r="F407" s="206"/>
      <c r="G407" s="206"/>
    </row>
    <row r="408" spans="3:7" x14ac:dyDescent="0.35">
      <c r="C408" s="193"/>
      <c r="D408" s="193"/>
      <c r="E408" s="196"/>
      <c r="F408" s="206"/>
      <c r="G408" s="206"/>
    </row>
    <row r="409" spans="3:7" x14ac:dyDescent="0.35">
      <c r="C409" s="193"/>
      <c r="D409" s="193"/>
      <c r="E409" s="196"/>
      <c r="F409" s="206"/>
      <c r="G409" s="206"/>
    </row>
    <row r="410" spans="3:7" x14ac:dyDescent="0.35">
      <c r="C410" s="193"/>
      <c r="D410" s="193"/>
      <c r="E410" s="196"/>
      <c r="F410" s="206"/>
      <c r="G410" s="206"/>
    </row>
    <row r="411" spans="3:7" x14ac:dyDescent="0.35">
      <c r="C411" s="193"/>
      <c r="D411" s="193"/>
      <c r="E411" s="196"/>
      <c r="F411" s="206"/>
      <c r="G411" s="206"/>
    </row>
    <row r="412" spans="3:7" x14ac:dyDescent="0.35">
      <c r="C412" s="193"/>
      <c r="D412" s="193"/>
      <c r="E412" s="196"/>
      <c r="F412" s="206"/>
      <c r="G412" s="206"/>
    </row>
    <row r="413" spans="3:7" x14ac:dyDescent="0.35">
      <c r="C413" s="193"/>
      <c r="D413" s="193"/>
      <c r="E413" s="196"/>
      <c r="F413" s="206"/>
      <c r="G413" s="206"/>
    </row>
    <row r="414" spans="3:7" x14ac:dyDescent="0.35">
      <c r="C414" s="193"/>
      <c r="D414" s="193"/>
      <c r="E414" s="196"/>
      <c r="F414" s="206"/>
      <c r="G414" s="206"/>
    </row>
    <row r="415" spans="3:7" x14ac:dyDescent="0.35">
      <c r="C415" s="193"/>
      <c r="D415" s="193"/>
      <c r="E415" s="196"/>
      <c r="F415" s="206"/>
      <c r="G415" s="206"/>
    </row>
    <row r="416" spans="3:7" x14ac:dyDescent="0.35">
      <c r="C416" s="193"/>
      <c r="D416" s="193"/>
      <c r="E416" s="196"/>
      <c r="F416" s="206"/>
      <c r="G416" s="206"/>
    </row>
    <row r="417" spans="3:7" x14ac:dyDescent="0.35">
      <c r="C417" s="193"/>
      <c r="D417" s="193"/>
      <c r="E417" s="196"/>
      <c r="F417" s="206"/>
      <c r="G417" s="206"/>
    </row>
    <row r="418" spans="3:7" x14ac:dyDescent="0.35">
      <c r="C418" s="193"/>
      <c r="D418" s="193"/>
      <c r="E418" s="196"/>
      <c r="F418" s="206"/>
      <c r="G418" s="206"/>
    </row>
    <row r="419" spans="3:7" x14ac:dyDescent="0.35">
      <c r="C419" s="193"/>
      <c r="D419" s="193"/>
      <c r="E419" s="196"/>
      <c r="F419" s="206"/>
      <c r="G419" s="206"/>
    </row>
    <row r="420" spans="3:7" x14ac:dyDescent="0.35">
      <c r="C420" s="193"/>
      <c r="D420" s="193"/>
      <c r="E420" s="196"/>
      <c r="F420" s="206"/>
      <c r="G420" s="206"/>
    </row>
    <row r="421" spans="3:7" x14ac:dyDescent="0.35">
      <c r="C421" s="193"/>
      <c r="D421" s="193"/>
      <c r="E421" s="196"/>
      <c r="F421" s="206"/>
      <c r="G421" s="206"/>
    </row>
    <row r="422" spans="3:7" x14ac:dyDescent="0.35">
      <c r="C422" s="193"/>
      <c r="D422" s="193"/>
      <c r="E422" s="196"/>
      <c r="F422" s="206"/>
      <c r="G422" s="206"/>
    </row>
    <row r="423" spans="3:7" x14ac:dyDescent="0.35">
      <c r="C423" s="193"/>
      <c r="D423" s="193"/>
      <c r="E423" s="196"/>
      <c r="F423" s="206"/>
      <c r="G423" s="206"/>
    </row>
    <row r="424" spans="3:7" x14ac:dyDescent="0.35">
      <c r="C424" s="193"/>
      <c r="D424" s="193"/>
      <c r="E424" s="196"/>
      <c r="F424" s="206"/>
      <c r="G424" s="206"/>
    </row>
    <row r="425" spans="3:7" x14ac:dyDescent="0.35">
      <c r="C425" s="193"/>
      <c r="D425" s="193"/>
      <c r="E425" s="196"/>
      <c r="F425" s="206"/>
      <c r="G425" s="206"/>
    </row>
    <row r="426" spans="3:7" x14ac:dyDescent="0.35">
      <c r="C426" s="193"/>
      <c r="D426" s="193"/>
      <c r="E426" s="196"/>
      <c r="F426" s="206"/>
      <c r="G426" s="206"/>
    </row>
    <row r="427" spans="3:7" x14ac:dyDescent="0.35">
      <c r="C427" s="193"/>
      <c r="D427" s="193"/>
      <c r="E427" s="196"/>
      <c r="F427" s="206"/>
      <c r="G427" s="206"/>
    </row>
    <row r="428" spans="3:7" x14ac:dyDescent="0.35">
      <c r="C428" s="193"/>
      <c r="D428" s="193"/>
      <c r="E428" s="196"/>
      <c r="F428" s="206"/>
      <c r="G428" s="206"/>
    </row>
    <row r="429" spans="3:7" x14ac:dyDescent="0.35">
      <c r="C429" s="193"/>
      <c r="D429" s="193"/>
      <c r="E429" s="196"/>
      <c r="F429" s="206"/>
      <c r="G429" s="206"/>
    </row>
    <row r="430" spans="3:7" x14ac:dyDescent="0.35">
      <c r="C430" s="193"/>
      <c r="D430" s="193"/>
      <c r="E430" s="196"/>
      <c r="F430" s="206"/>
      <c r="G430" s="206"/>
    </row>
    <row r="431" spans="3:7" x14ac:dyDescent="0.35">
      <c r="C431" s="193"/>
      <c r="D431" s="193"/>
      <c r="E431" s="196"/>
      <c r="F431" s="206"/>
      <c r="G431" s="206"/>
    </row>
    <row r="432" spans="3:7" x14ac:dyDescent="0.35">
      <c r="C432" s="193"/>
      <c r="D432" s="193"/>
      <c r="E432" s="196"/>
      <c r="F432" s="206"/>
      <c r="G432" s="206"/>
    </row>
    <row r="433" spans="3:7" x14ac:dyDescent="0.35">
      <c r="C433" s="193"/>
      <c r="D433" s="193"/>
      <c r="E433" s="196"/>
      <c r="F433" s="206"/>
      <c r="G433" s="206"/>
    </row>
    <row r="434" spans="3:7" x14ac:dyDescent="0.35">
      <c r="C434" s="193"/>
      <c r="D434" s="193"/>
      <c r="E434" s="196"/>
      <c r="F434" s="206"/>
      <c r="G434" s="206"/>
    </row>
    <row r="435" spans="3:7" x14ac:dyDescent="0.35">
      <c r="C435" s="193"/>
      <c r="D435" s="193"/>
      <c r="E435" s="196"/>
      <c r="F435" s="206"/>
      <c r="G435" s="206"/>
    </row>
    <row r="436" spans="3:7" x14ac:dyDescent="0.35">
      <c r="C436" s="193"/>
      <c r="D436" s="193"/>
      <c r="E436" s="196"/>
      <c r="F436" s="206"/>
      <c r="G436" s="206"/>
    </row>
    <row r="437" spans="3:7" x14ac:dyDescent="0.35">
      <c r="C437" s="193"/>
      <c r="D437" s="193"/>
      <c r="E437" s="196"/>
      <c r="F437" s="206"/>
      <c r="G437" s="206"/>
    </row>
    <row r="438" spans="3:7" x14ac:dyDescent="0.35">
      <c r="C438" s="193"/>
      <c r="D438" s="193"/>
      <c r="E438" s="196"/>
      <c r="F438" s="206"/>
      <c r="G438" s="206"/>
    </row>
    <row r="439" spans="3:7" x14ac:dyDescent="0.35">
      <c r="C439" s="193"/>
      <c r="D439" s="193"/>
      <c r="E439" s="196"/>
      <c r="F439" s="206"/>
      <c r="G439" s="206"/>
    </row>
    <row r="440" spans="3:7" x14ac:dyDescent="0.35">
      <c r="C440" s="193"/>
      <c r="D440" s="193"/>
      <c r="E440" s="196"/>
      <c r="F440" s="206"/>
      <c r="G440" s="206"/>
    </row>
    <row r="441" spans="3:7" x14ac:dyDescent="0.35">
      <c r="C441" s="193"/>
      <c r="D441" s="193"/>
      <c r="E441" s="196"/>
      <c r="F441" s="206"/>
      <c r="G441" s="206"/>
    </row>
    <row r="442" spans="3:7" x14ac:dyDescent="0.35">
      <c r="C442" s="193"/>
      <c r="D442" s="193"/>
      <c r="E442" s="196"/>
      <c r="F442" s="206"/>
      <c r="G442" s="206"/>
    </row>
    <row r="443" spans="3:7" x14ac:dyDescent="0.35">
      <c r="C443" s="193"/>
      <c r="D443" s="193"/>
      <c r="E443" s="196"/>
      <c r="F443" s="206"/>
      <c r="G443" s="206"/>
    </row>
    <row r="444" spans="3:7" x14ac:dyDescent="0.35">
      <c r="C444" s="193"/>
      <c r="D444" s="193"/>
      <c r="E444" s="196"/>
      <c r="F444" s="206"/>
      <c r="G444" s="206"/>
    </row>
    <row r="445" spans="3:7" x14ac:dyDescent="0.35">
      <c r="C445" s="193"/>
      <c r="D445" s="193"/>
      <c r="E445" s="196"/>
      <c r="F445" s="206"/>
      <c r="G445" s="206"/>
    </row>
    <row r="446" spans="3:7" x14ac:dyDescent="0.35">
      <c r="C446" s="193"/>
      <c r="D446" s="193"/>
      <c r="E446" s="196"/>
      <c r="F446" s="206"/>
      <c r="G446" s="206"/>
    </row>
    <row r="447" spans="3:7" x14ac:dyDescent="0.35">
      <c r="C447" s="193"/>
      <c r="D447" s="193"/>
      <c r="E447" s="196"/>
      <c r="F447" s="206"/>
      <c r="G447" s="206"/>
    </row>
    <row r="448" spans="3:7" x14ac:dyDescent="0.35">
      <c r="C448" s="193"/>
      <c r="D448" s="193"/>
      <c r="E448" s="196"/>
      <c r="F448" s="206"/>
      <c r="G448" s="206"/>
    </row>
    <row r="449" spans="3:7" x14ac:dyDescent="0.35">
      <c r="C449" s="193"/>
      <c r="D449" s="193"/>
      <c r="E449" s="196"/>
      <c r="F449" s="206"/>
      <c r="G449" s="206"/>
    </row>
    <row r="450" spans="3:7" x14ac:dyDescent="0.35">
      <c r="C450" s="193"/>
      <c r="D450" s="193"/>
      <c r="E450" s="196"/>
      <c r="F450" s="206"/>
      <c r="G450" s="206"/>
    </row>
    <row r="451" spans="3:7" x14ac:dyDescent="0.35">
      <c r="C451" s="193"/>
      <c r="D451" s="193"/>
      <c r="E451" s="196"/>
      <c r="F451" s="206"/>
      <c r="G451" s="206"/>
    </row>
    <row r="452" spans="3:7" x14ac:dyDescent="0.35">
      <c r="C452" s="193"/>
      <c r="D452" s="193"/>
      <c r="E452" s="196"/>
      <c r="F452" s="206"/>
      <c r="G452" s="206"/>
    </row>
    <row r="453" spans="3:7" x14ac:dyDescent="0.35">
      <c r="C453" s="193"/>
      <c r="D453" s="193"/>
      <c r="E453" s="196"/>
      <c r="F453" s="206"/>
      <c r="G453" s="206"/>
    </row>
    <row r="454" spans="3:7" x14ac:dyDescent="0.35">
      <c r="C454" s="193"/>
      <c r="D454" s="193"/>
      <c r="E454" s="196"/>
      <c r="F454" s="206"/>
      <c r="G454" s="206"/>
    </row>
    <row r="455" spans="3:7" x14ac:dyDescent="0.35">
      <c r="C455" s="193"/>
      <c r="D455" s="193"/>
      <c r="E455" s="196"/>
      <c r="F455" s="206"/>
      <c r="G455" s="206"/>
    </row>
    <row r="456" spans="3:7" x14ac:dyDescent="0.35">
      <c r="C456" s="193"/>
      <c r="D456" s="193"/>
      <c r="E456" s="196"/>
      <c r="F456" s="206"/>
      <c r="G456" s="206"/>
    </row>
    <row r="457" spans="3:7" x14ac:dyDescent="0.35">
      <c r="C457" s="193"/>
      <c r="D457" s="193"/>
      <c r="E457" s="196"/>
      <c r="F457" s="206"/>
      <c r="G457" s="206"/>
    </row>
    <row r="458" spans="3:7" x14ac:dyDescent="0.35">
      <c r="C458" s="193"/>
      <c r="D458" s="193"/>
      <c r="E458" s="196"/>
      <c r="F458" s="206"/>
      <c r="G458" s="206"/>
    </row>
    <row r="459" spans="3:7" x14ac:dyDescent="0.35">
      <c r="C459" s="193"/>
      <c r="D459" s="193"/>
      <c r="E459" s="196"/>
      <c r="F459" s="206"/>
      <c r="G459" s="206"/>
    </row>
    <row r="460" spans="3:7" x14ac:dyDescent="0.35">
      <c r="C460" s="193"/>
      <c r="D460" s="193"/>
      <c r="E460" s="196"/>
      <c r="F460" s="206"/>
      <c r="G460" s="206"/>
    </row>
    <row r="461" spans="3:7" x14ac:dyDescent="0.35">
      <c r="C461" s="193"/>
      <c r="D461" s="193"/>
      <c r="E461" s="196"/>
      <c r="F461" s="206"/>
      <c r="G461" s="206"/>
    </row>
    <row r="462" spans="3:7" x14ac:dyDescent="0.35">
      <c r="C462" s="193"/>
      <c r="D462" s="193"/>
      <c r="E462" s="196"/>
      <c r="F462" s="206"/>
      <c r="G462" s="206"/>
    </row>
    <row r="463" spans="3:7" x14ac:dyDescent="0.35">
      <c r="C463" s="193"/>
      <c r="D463" s="193"/>
      <c r="E463" s="196"/>
      <c r="F463" s="206"/>
      <c r="G463" s="206"/>
    </row>
    <row r="464" spans="3:7" x14ac:dyDescent="0.35">
      <c r="C464" s="193"/>
      <c r="D464" s="193"/>
      <c r="E464" s="196"/>
      <c r="F464" s="206"/>
      <c r="G464" s="206"/>
    </row>
    <row r="465" spans="3:7" x14ac:dyDescent="0.35">
      <c r="C465" s="193"/>
      <c r="D465" s="193"/>
      <c r="E465" s="196"/>
      <c r="F465" s="206"/>
      <c r="G465" s="206"/>
    </row>
    <row r="466" spans="3:7" x14ac:dyDescent="0.35">
      <c r="C466" s="193"/>
      <c r="D466" s="193"/>
      <c r="E466" s="196"/>
      <c r="F466" s="206"/>
      <c r="G466" s="206"/>
    </row>
    <row r="467" spans="3:7" x14ac:dyDescent="0.35">
      <c r="C467" s="193"/>
      <c r="D467" s="193"/>
      <c r="E467" s="196"/>
      <c r="F467" s="206"/>
      <c r="G467" s="206"/>
    </row>
    <row r="468" spans="3:7" x14ac:dyDescent="0.35">
      <c r="C468" s="193"/>
      <c r="D468" s="193"/>
      <c r="E468" s="196"/>
      <c r="F468" s="206"/>
      <c r="G468" s="206"/>
    </row>
    <row r="469" spans="3:7" x14ac:dyDescent="0.35">
      <c r="C469" s="193"/>
      <c r="D469" s="193"/>
      <c r="E469" s="196"/>
      <c r="F469" s="206"/>
      <c r="G469" s="206"/>
    </row>
    <row r="470" spans="3:7" x14ac:dyDescent="0.35">
      <c r="C470" s="193"/>
      <c r="D470" s="193"/>
      <c r="E470" s="196"/>
      <c r="F470" s="206"/>
      <c r="G470" s="206"/>
    </row>
    <row r="471" spans="3:7" x14ac:dyDescent="0.35">
      <c r="C471" s="193"/>
      <c r="D471" s="193"/>
      <c r="E471" s="196"/>
      <c r="F471" s="206"/>
      <c r="G471" s="206"/>
    </row>
    <row r="472" spans="3:7" x14ac:dyDescent="0.35">
      <c r="C472" s="193"/>
      <c r="D472" s="193"/>
      <c r="E472" s="196"/>
      <c r="F472" s="206"/>
      <c r="G472" s="206"/>
    </row>
    <row r="473" spans="3:7" x14ac:dyDescent="0.35">
      <c r="C473" s="193"/>
      <c r="D473" s="193"/>
      <c r="E473" s="196"/>
      <c r="F473" s="206"/>
      <c r="G473" s="206"/>
    </row>
    <row r="474" spans="3:7" x14ac:dyDescent="0.35">
      <c r="C474" s="193"/>
      <c r="D474" s="193"/>
      <c r="E474" s="196"/>
      <c r="F474" s="206"/>
      <c r="G474" s="206"/>
    </row>
    <row r="475" spans="3:7" x14ac:dyDescent="0.35">
      <c r="C475" s="193"/>
      <c r="D475" s="193"/>
      <c r="E475" s="196"/>
      <c r="F475" s="206"/>
      <c r="G475" s="206"/>
    </row>
    <row r="476" spans="3:7" x14ac:dyDescent="0.35">
      <c r="C476" s="193"/>
      <c r="D476" s="193"/>
      <c r="E476" s="196"/>
      <c r="F476" s="206"/>
      <c r="G476" s="206"/>
    </row>
    <row r="477" spans="3:7" x14ac:dyDescent="0.35">
      <c r="C477" s="193"/>
      <c r="D477" s="193"/>
      <c r="E477" s="196"/>
      <c r="F477" s="206"/>
      <c r="G477" s="206"/>
    </row>
    <row r="478" spans="3:7" x14ac:dyDescent="0.35">
      <c r="C478" s="193"/>
      <c r="D478" s="193"/>
      <c r="E478" s="196"/>
      <c r="F478" s="206"/>
      <c r="G478" s="206"/>
    </row>
    <row r="479" spans="3:7" x14ac:dyDescent="0.35">
      <c r="C479" s="193"/>
      <c r="D479" s="193"/>
      <c r="E479" s="196"/>
      <c r="F479" s="206"/>
      <c r="G479" s="206"/>
    </row>
    <row r="480" spans="3:7" x14ac:dyDescent="0.35">
      <c r="C480" s="193"/>
      <c r="D480" s="193"/>
      <c r="E480" s="196"/>
      <c r="F480" s="206"/>
      <c r="G480" s="206"/>
    </row>
    <row r="481" spans="3:7" x14ac:dyDescent="0.35">
      <c r="C481" s="193"/>
      <c r="D481" s="193"/>
      <c r="E481" s="196"/>
      <c r="F481" s="206"/>
      <c r="G481" s="206"/>
    </row>
    <row r="482" spans="3:7" x14ac:dyDescent="0.35">
      <c r="C482" s="193"/>
      <c r="D482" s="193"/>
      <c r="E482" s="196"/>
      <c r="F482" s="206"/>
      <c r="G482" s="206"/>
    </row>
    <row r="483" spans="3:7" x14ac:dyDescent="0.35">
      <c r="C483" s="193"/>
      <c r="D483" s="193"/>
      <c r="E483" s="196"/>
      <c r="F483" s="206"/>
      <c r="G483" s="206"/>
    </row>
    <row r="484" spans="3:7" x14ac:dyDescent="0.35">
      <c r="C484" s="193"/>
      <c r="D484" s="193"/>
      <c r="E484" s="196"/>
      <c r="F484" s="206"/>
      <c r="G484" s="206"/>
    </row>
    <row r="485" spans="3:7" x14ac:dyDescent="0.35">
      <c r="C485" s="193"/>
      <c r="D485" s="193"/>
      <c r="E485" s="196"/>
      <c r="F485" s="206"/>
      <c r="G485" s="206"/>
    </row>
    <row r="486" spans="3:7" x14ac:dyDescent="0.35">
      <c r="C486" s="193"/>
      <c r="D486" s="193"/>
      <c r="E486" s="196"/>
      <c r="F486" s="206"/>
      <c r="G486" s="206"/>
    </row>
    <row r="487" spans="3:7" x14ac:dyDescent="0.35">
      <c r="C487" s="193"/>
      <c r="D487" s="193"/>
      <c r="E487" s="196"/>
      <c r="F487" s="206"/>
      <c r="G487" s="206"/>
    </row>
    <row r="488" spans="3:7" x14ac:dyDescent="0.35">
      <c r="C488" s="193"/>
      <c r="D488" s="193"/>
      <c r="E488" s="196"/>
      <c r="F488" s="206"/>
      <c r="G488" s="206"/>
    </row>
    <row r="489" spans="3:7" x14ac:dyDescent="0.35">
      <c r="C489" s="193"/>
      <c r="D489" s="193"/>
      <c r="E489" s="196"/>
      <c r="F489" s="206"/>
      <c r="G489" s="206"/>
    </row>
    <row r="490" spans="3:7" x14ac:dyDescent="0.35">
      <c r="C490" s="193"/>
      <c r="D490" s="193"/>
      <c r="E490" s="196"/>
      <c r="F490" s="206"/>
      <c r="G490" s="206"/>
    </row>
    <row r="491" spans="3:7" x14ac:dyDescent="0.35">
      <c r="C491" s="193"/>
      <c r="D491" s="193"/>
      <c r="E491" s="196"/>
      <c r="F491" s="206"/>
      <c r="G491" s="206"/>
    </row>
    <row r="492" spans="3:7" x14ac:dyDescent="0.35">
      <c r="C492" s="193"/>
      <c r="D492" s="193"/>
      <c r="E492" s="196"/>
      <c r="F492" s="206"/>
      <c r="G492" s="206"/>
    </row>
    <row r="493" spans="3:7" x14ac:dyDescent="0.35">
      <c r="C493" s="193"/>
      <c r="D493" s="193"/>
      <c r="E493" s="196"/>
      <c r="F493" s="206"/>
      <c r="G493" s="206"/>
    </row>
    <row r="494" spans="3:7" x14ac:dyDescent="0.35">
      <c r="C494" s="193"/>
      <c r="D494" s="193"/>
      <c r="E494" s="196"/>
      <c r="F494" s="206"/>
      <c r="G494" s="206"/>
    </row>
    <row r="495" spans="3:7" x14ac:dyDescent="0.35">
      <c r="C495" s="193"/>
      <c r="D495" s="193"/>
      <c r="E495" s="196"/>
      <c r="F495" s="206"/>
      <c r="G495" s="206"/>
    </row>
    <row r="496" spans="3:7" x14ac:dyDescent="0.35">
      <c r="C496" s="193"/>
      <c r="D496" s="193"/>
      <c r="E496" s="196"/>
      <c r="F496" s="206"/>
      <c r="G496" s="206"/>
    </row>
    <row r="497" spans="3:7" x14ac:dyDescent="0.35">
      <c r="C497" s="193"/>
      <c r="D497" s="193"/>
      <c r="E497" s="196"/>
      <c r="F497" s="206"/>
      <c r="G497" s="206"/>
    </row>
    <row r="498" spans="3:7" x14ac:dyDescent="0.35">
      <c r="C498" s="193"/>
      <c r="D498" s="193"/>
      <c r="E498" s="196"/>
      <c r="F498" s="206"/>
      <c r="G498" s="206"/>
    </row>
    <row r="499" spans="3:7" x14ac:dyDescent="0.35">
      <c r="C499" s="193"/>
      <c r="D499" s="193"/>
      <c r="E499" s="196"/>
      <c r="F499" s="206"/>
      <c r="G499" s="206"/>
    </row>
    <row r="500" spans="3:7" x14ac:dyDescent="0.35">
      <c r="C500" s="193"/>
      <c r="D500" s="193"/>
      <c r="E500" s="196"/>
      <c r="F500" s="206"/>
      <c r="G500" s="206"/>
    </row>
    <row r="501" spans="3:7" x14ac:dyDescent="0.35">
      <c r="C501" s="193"/>
      <c r="D501" s="193"/>
      <c r="E501" s="196"/>
      <c r="F501" s="206"/>
      <c r="G501" s="206"/>
    </row>
    <row r="502" spans="3:7" x14ac:dyDescent="0.35">
      <c r="C502" s="193"/>
      <c r="D502" s="193"/>
      <c r="E502" s="196"/>
      <c r="F502" s="206"/>
      <c r="G502" s="206"/>
    </row>
    <row r="503" spans="3:7" x14ac:dyDescent="0.35">
      <c r="C503" s="193"/>
      <c r="D503" s="193"/>
      <c r="E503" s="196"/>
      <c r="F503" s="206"/>
      <c r="G503" s="206"/>
    </row>
    <row r="504" spans="3:7" x14ac:dyDescent="0.35">
      <c r="C504" s="193"/>
      <c r="D504" s="193"/>
      <c r="E504" s="196"/>
      <c r="F504" s="206"/>
      <c r="G504" s="206"/>
    </row>
    <row r="505" spans="3:7" x14ac:dyDescent="0.35">
      <c r="C505" s="193"/>
      <c r="D505" s="193"/>
      <c r="E505" s="196"/>
      <c r="F505" s="206"/>
      <c r="G505" s="206"/>
    </row>
    <row r="506" spans="3:7" x14ac:dyDescent="0.35">
      <c r="C506" s="193"/>
      <c r="D506" s="193"/>
      <c r="E506" s="196"/>
      <c r="F506" s="206"/>
      <c r="G506" s="206"/>
    </row>
    <row r="507" spans="3:7" x14ac:dyDescent="0.35">
      <c r="C507" s="193"/>
      <c r="D507" s="193"/>
      <c r="E507" s="196"/>
      <c r="F507" s="206"/>
      <c r="G507" s="206"/>
    </row>
    <row r="508" spans="3:7" x14ac:dyDescent="0.35">
      <c r="C508" s="193"/>
      <c r="D508" s="193"/>
      <c r="E508" s="196"/>
      <c r="F508" s="206"/>
      <c r="G508" s="206"/>
    </row>
    <row r="509" spans="3:7" x14ac:dyDescent="0.35">
      <c r="C509" s="193"/>
      <c r="D509" s="193"/>
      <c r="E509" s="196"/>
      <c r="F509" s="206"/>
      <c r="G509" s="206"/>
    </row>
    <row r="510" spans="3:7" x14ac:dyDescent="0.35">
      <c r="C510" s="193"/>
      <c r="D510" s="193"/>
      <c r="E510" s="196"/>
      <c r="F510" s="206"/>
      <c r="G510" s="206"/>
    </row>
    <row r="511" spans="3:7" x14ac:dyDescent="0.35">
      <c r="C511" s="193"/>
      <c r="D511" s="193"/>
      <c r="E511" s="196"/>
      <c r="F511" s="206"/>
      <c r="G511" s="206"/>
    </row>
    <row r="512" spans="3:7" x14ac:dyDescent="0.35">
      <c r="C512" s="193"/>
      <c r="D512" s="193"/>
      <c r="E512" s="196"/>
      <c r="F512" s="206"/>
      <c r="G512" s="206"/>
    </row>
    <row r="513" spans="3:7" x14ac:dyDescent="0.35">
      <c r="C513" s="193"/>
      <c r="D513" s="193"/>
      <c r="E513" s="196"/>
      <c r="F513" s="206"/>
      <c r="G513" s="206"/>
    </row>
    <row r="514" spans="3:7" x14ac:dyDescent="0.35">
      <c r="C514" s="193"/>
      <c r="D514" s="193"/>
      <c r="E514" s="196"/>
      <c r="F514" s="206"/>
      <c r="G514" s="206"/>
    </row>
    <row r="515" spans="3:7" x14ac:dyDescent="0.35">
      <c r="C515" s="193"/>
      <c r="D515" s="193"/>
      <c r="E515" s="196"/>
      <c r="F515" s="206"/>
      <c r="G515" s="206"/>
    </row>
    <row r="516" spans="3:7" x14ac:dyDescent="0.35">
      <c r="C516" s="193"/>
      <c r="D516" s="193"/>
      <c r="E516" s="196"/>
      <c r="F516" s="206"/>
      <c r="G516" s="206"/>
    </row>
    <row r="517" spans="3:7" x14ac:dyDescent="0.35">
      <c r="C517" s="193"/>
      <c r="D517" s="193"/>
      <c r="E517" s="196"/>
      <c r="F517" s="206"/>
      <c r="G517" s="206"/>
    </row>
    <row r="518" spans="3:7" x14ac:dyDescent="0.35">
      <c r="C518" s="193"/>
      <c r="D518" s="193"/>
      <c r="E518" s="196"/>
      <c r="F518" s="206"/>
      <c r="G518" s="206"/>
    </row>
    <row r="519" spans="3:7" x14ac:dyDescent="0.35">
      <c r="C519" s="193"/>
      <c r="D519" s="193"/>
      <c r="E519" s="196"/>
      <c r="F519" s="206"/>
      <c r="G519" s="206"/>
    </row>
    <row r="520" spans="3:7" x14ac:dyDescent="0.35">
      <c r="C520" s="193"/>
      <c r="D520" s="193"/>
      <c r="E520" s="196"/>
      <c r="F520" s="206"/>
      <c r="G520" s="206"/>
    </row>
    <row r="521" spans="3:7" x14ac:dyDescent="0.35">
      <c r="C521" s="193"/>
      <c r="D521" s="193"/>
      <c r="E521" s="196"/>
      <c r="F521" s="206"/>
      <c r="G521" s="206"/>
    </row>
    <row r="522" spans="3:7" x14ac:dyDescent="0.35">
      <c r="C522" s="193"/>
      <c r="D522" s="193"/>
      <c r="E522" s="196"/>
      <c r="F522" s="206"/>
      <c r="G522" s="206"/>
    </row>
    <row r="523" spans="3:7" x14ac:dyDescent="0.35">
      <c r="C523" s="193"/>
      <c r="D523" s="193"/>
      <c r="E523" s="196"/>
      <c r="F523" s="206"/>
      <c r="G523" s="206"/>
    </row>
    <row r="524" spans="3:7" x14ac:dyDescent="0.35">
      <c r="C524" s="193"/>
      <c r="D524" s="193"/>
      <c r="E524" s="196"/>
      <c r="F524" s="206"/>
      <c r="G524" s="206"/>
    </row>
    <row r="525" spans="3:7" x14ac:dyDescent="0.35">
      <c r="C525" s="193"/>
      <c r="D525" s="193"/>
      <c r="E525" s="196"/>
      <c r="F525" s="206"/>
      <c r="G525" s="206"/>
    </row>
    <row r="526" spans="3:7" x14ac:dyDescent="0.35">
      <c r="C526" s="193"/>
      <c r="D526" s="193"/>
      <c r="E526" s="196"/>
      <c r="F526" s="206"/>
      <c r="G526" s="206"/>
    </row>
    <row r="527" spans="3:7" x14ac:dyDescent="0.35">
      <c r="C527" s="193"/>
      <c r="D527" s="193"/>
      <c r="E527" s="196"/>
      <c r="F527" s="206"/>
      <c r="G527" s="206"/>
    </row>
    <row r="528" spans="3:7" x14ac:dyDescent="0.35">
      <c r="C528" s="193"/>
      <c r="D528" s="193"/>
      <c r="E528" s="196"/>
      <c r="F528" s="206"/>
      <c r="G528" s="206"/>
    </row>
    <row r="529" spans="3:7" x14ac:dyDescent="0.35">
      <c r="C529" s="193"/>
      <c r="D529" s="193"/>
      <c r="E529" s="196"/>
      <c r="F529" s="206"/>
      <c r="G529" s="206"/>
    </row>
    <row r="530" spans="3:7" x14ac:dyDescent="0.35">
      <c r="C530" s="193"/>
      <c r="D530" s="193"/>
      <c r="E530" s="196"/>
      <c r="F530" s="206"/>
      <c r="G530" s="206"/>
    </row>
    <row r="531" spans="3:7" x14ac:dyDescent="0.35">
      <c r="C531" s="193"/>
      <c r="D531" s="193"/>
      <c r="E531" s="196"/>
      <c r="F531" s="206"/>
      <c r="G531" s="206"/>
    </row>
    <row r="532" spans="3:7" x14ac:dyDescent="0.35">
      <c r="C532" s="193"/>
      <c r="D532" s="193"/>
      <c r="E532" s="196"/>
      <c r="F532" s="206"/>
      <c r="G532" s="206"/>
    </row>
    <row r="533" spans="3:7" x14ac:dyDescent="0.35">
      <c r="C533" s="193"/>
      <c r="D533" s="193"/>
      <c r="E533" s="196"/>
      <c r="F533" s="206"/>
      <c r="G533" s="206"/>
    </row>
    <row r="534" spans="3:7" x14ac:dyDescent="0.35">
      <c r="C534" s="193"/>
      <c r="D534" s="193"/>
      <c r="E534" s="196"/>
      <c r="F534" s="206"/>
      <c r="G534" s="206"/>
    </row>
    <row r="535" spans="3:7" x14ac:dyDescent="0.35">
      <c r="C535" s="193"/>
      <c r="D535" s="193"/>
      <c r="E535" s="196"/>
      <c r="F535" s="206"/>
      <c r="G535" s="206"/>
    </row>
    <row r="536" spans="3:7" x14ac:dyDescent="0.35">
      <c r="C536" s="193"/>
      <c r="D536" s="193"/>
      <c r="E536" s="196"/>
      <c r="F536" s="206"/>
      <c r="G536" s="206"/>
    </row>
    <row r="537" spans="3:7" x14ac:dyDescent="0.35">
      <c r="C537" s="193"/>
      <c r="D537" s="193"/>
      <c r="E537" s="196"/>
      <c r="F537" s="206"/>
      <c r="G537" s="206"/>
    </row>
    <row r="538" spans="3:7" x14ac:dyDescent="0.35">
      <c r="C538" s="193"/>
      <c r="D538" s="193"/>
      <c r="E538" s="196"/>
      <c r="F538" s="206"/>
      <c r="G538" s="206"/>
    </row>
    <row r="539" spans="3:7" x14ac:dyDescent="0.35">
      <c r="C539" s="193"/>
      <c r="D539" s="193"/>
      <c r="E539" s="196"/>
      <c r="F539" s="206"/>
      <c r="G539" s="206"/>
    </row>
    <row r="540" spans="3:7" x14ac:dyDescent="0.35">
      <c r="C540" s="193"/>
      <c r="D540" s="193"/>
      <c r="E540" s="196"/>
      <c r="F540" s="206"/>
      <c r="G540" s="206"/>
    </row>
    <row r="541" spans="3:7" x14ac:dyDescent="0.35">
      <c r="C541" s="193"/>
      <c r="D541" s="193"/>
      <c r="E541" s="196"/>
      <c r="F541" s="206"/>
      <c r="G541" s="206"/>
    </row>
    <row r="542" spans="3:7" x14ac:dyDescent="0.35">
      <c r="C542" s="193"/>
      <c r="D542" s="193"/>
      <c r="E542" s="196"/>
      <c r="F542" s="206"/>
      <c r="G542" s="206"/>
    </row>
    <row r="543" spans="3:7" x14ac:dyDescent="0.35">
      <c r="C543" s="193"/>
      <c r="D543" s="193"/>
      <c r="E543" s="196"/>
      <c r="F543" s="206"/>
      <c r="G543" s="206"/>
    </row>
    <row r="544" spans="3:7" x14ac:dyDescent="0.35">
      <c r="C544" s="193"/>
      <c r="D544" s="193"/>
      <c r="E544" s="196"/>
      <c r="F544" s="206"/>
      <c r="G544" s="206"/>
    </row>
    <row r="545" spans="3:7" x14ac:dyDescent="0.35">
      <c r="C545" s="193"/>
      <c r="D545" s="193"/>
      <c r="E545" s="196"/>
      <c r="F545" s="206"/>
      <c r="G545" s="206"/>
    </row>
    <row r="546" spans="3:7" x14ac:dyDescent="0.35">
      <c r="C546" s="193"/>
      <c r="D546" s="193"/>
      <c r="E546" s="196"/>
      <c r="F546" s="206"/>
      <c r="G546" s="206"/>
    </row>
    <row r="547" spans="3:7" x14ac:dyDescent="0.35">
      <c r="C547" s="193"/>
      <c r="D547" s="193"/>
      <c r="E547" s="196"/>
      <c r="F547" s="206"/>
      <c r="G547" s="206"/>
    </row>
    <row r="548" spans="3:7" x14ac:dyDescent="0.35">
      <c r="C548" s="193"/>
      <c r="D548" s="193"/>
      <c r="E548" s="196"/>
      <c r="F548" s="206"/>
      <c r="G548" s="206"/>
    </row>
    <row r="549" spans="3:7" x14ac:dyDescent="0.35">
      <c r="C549" s="193"/>
      <c r="D549" s="193"/>
      <c r="E549" s="196"/>
      <c r="F549" s="206"/>
      <c r="G549" s="206"/>
    </row>
    <row r="550" spans="3:7" x14ac:dyDescent="0.35">
      <c r="C550" s="193"/>
      <c r="D550" s="193"/>
      <c r="E550" s="196"/>
      <c r="F550" s="206"/>
      <c r="G550" s="206"/>
    </row>
    <row r="551" spans="3:7" x14ac:dyDescent="0.35">
      <c r="C551" s="193"/>
      <c r="D551" s="193"/>
      <c r="E551" s="196"/>
      <c r="F551" s="206"/>
      <c r="G551" s="206"/>
    </row>
    <row r="552" spans="3:7" x14ac:dyDescent="0.35">
      <c r="C552" s="193"/>
      <c r="D552" s="193"/>
      <c r="E552" s="196"/>
      <c r="F552" s="206"/>
      <c r="G552" s="206"/>
    </row>
    <row r="553" spans="3:7" x14ac:dyDescent="0.35">
      <c r="C553" s="193"/>
      <c r="D553" s="193"/>
      <c r="E553" s="196"/>
      <c r="F553" s="206"/>
      <c r="G553" s="206"/>
    </row>
    <row r="554" spans="3:7" x14ac:dyDescent="0.35">
      <c r="C554" s="193"/>
      <c r="D554" s="193"/>
      <c r="E554" s="196"/>
      <c r="F554" s="206"/>
      <c r="G554" s="206"/>
    </row>
    <row r="555" spans="3:7" x14ac:dyDescent="0.35">
      <c r="C555" s="193"/>
      <c r="D555" s="193"/>
      <c r="E555" s="196"/>
      <c r="F555" s="206"/>
      <c r="G555" s="206"/>
    </row>
    <row r="556" spans="3:7" x14ac:dyDescent="0.35">
      <c r="C556" s="193"/>
      <c r="D556" s="193"/>
      <c r="E556" s="196"/>
      <c r="F556" s="206"/>
      <c r="G556" s="206"/>
    </row>
    <row r="557" spans="3:7" x14ac:dyDescent="0.35">
      <c r="C557" s="193"/>
      <c r="D557" s="193"/>
      <c r="E557" s="196"/>
      <c r="F557" s="206"/>
      <c r="G557" s="206"/>
    </row>
    <row r="558" spans="3:7" x14ac:dyDescent="0.35">
      <c r="C558" s="193"/>
      <c r="D558" s="193"/>
      <c r="E558" s="196"/>
      <c r="F558" s="206"/>
      <c r="G558" s="206"/>
    </row>
    <row r="559" spans="3:7" x14ac:dyDescent="0.35">
      <c r="C559" s="193"/>
      <c r="D559" s="193"/>
      <c r="E559" s="196"/>
      <c r="F559" s="206"/>
      <c r="G559" s="206"/>
    </row>
    <row r="560" spans="3:7" x14ac:dyDescent="0.35">
      <c r="C560" s="193"/>
      <c r="D560" s="193"/>
      <c r="E560" s="196"/>
      <c r="F560" s="206"/>
      <c r="G560" s="206"/>
    </row>
    <row r="561" spans="3:7" x14ac:dyDescent="0.35">
      <c r="C561" s="193"/>
      <c r="D561" s="193"/>
      <c r="E561" s="196"/>
      <c r="F561" s="206"/>
      <c r="G561" s="206"/>
    </row>
    <row r="562" spans="3:7" x14ac:dyDescent="0.35">
      <c r="C562" s="193"/>
      <c r="D562" s="193"/>
      <c r="E562" s="196"/>
      <c r="F562" s="206"/>
      <c r="G562" s="206"/>
    </row>
    <row r="563" spans="3:7" x14ac:dyDescent="0.35">
      <c r="C563" s="193"/>
      <c r="D563" s="193"/>
      <c r="E563" s="196"/>
      <c r="F563" s="206"/>
      <c r="G563" s="206"/>
    </row>
    <row r="564" spans="3:7" x14ac:dyDescent="0.35">
      <c r="C564" s="193"/>
      <c r="D564" s="193"/>
      <c r="E564" s="196"/>
      <c r="F564" s="206"/>
      <c r="G564" s="206"/>
    </row>
    <row r="565" spans="3:7" x14ac:dyDescent="0.35">
      <c r="C565" s="193"/>
      <c r="D565" s="193"/>
      <c r="E565" s="196"/>
      <c r="F565" s="206"/>
      <c r="G565" s="206"/>
    </row>
    <row r="566" spans="3:7" x14ac:dyDescent="0.35">
      <c r="C566" s="193"/>
      <c r="D566" s="193"/>
      <c r="E566" s="196"/>
      <c r="F566" s="206"/>
      <c r="G566" s="206"/>
    </row>
    <row r="567" spans="3:7" x14ac:dyDescent="0.35">
      <c r="C567" s="193"/>
      <c r="D567" s="193"/>
      <c r="E567" s="196"/>
      <c r="F567" s="206"/>
      <c r="G567" s="206"/>
    </row>
    <row r="568" spans="3:7" x14ac:dyDescent="0.35">
      <c r="C568" s="193"/>
      <c r="D568" s="193"/>
      <c r="E568" s="196"/>
      <c r="F568" s="206"/>
      <c r="G568" s="206"/>
    </row>
    <row r="569" spans="3:7" x14ac:dyDescent="0.35">
      <c r="C569" s="193"/>
      <c r="D569" s="193"/>
      <c r="E569" s="196"/>
      <c r="F569" s="206"/>
      <c r="G569" s="206"/>
    </row>
    <row r="570" spans="3:7" x14ac:dyDescent="0.35">
      <c r="C570" s="193"/>
      <c r="D570" s="193"/>
      <c r="E570" s="196"/>
      <c r="F570" s="206"/>
      <c r="G570" s="206"/>
    </row>
    <row r="571" spans="3:7" x14ac:dyDescent="0.35">
      <c r="C571" s="193"/>
      <c r="D571" s="193"/>
      <c r="E571" s="196"/>
      <c r="F571" s="206"/>
      <c r="G571" s="206"/>
    </row>
    <row r="572" spans="3:7" x14ac:dyDescent="0.35">
      <c r="C572" s="193"/>
      <c r="D572" s="193"/>
      <c r="E572" s="196"/>
      <c r="F572" s="206"/>
      <c r="G572" s="206"/>
    </row>
    <row r="573" spans="3:7" x14ac:dyDescent="0.35">
      <c r="C573" s="193"/>
      <c r="D573" s="193"/>
      <c r="E573" s="196"/>
      <c r="F573" s="206"/>
      <c r="G573" s="206"/>
    </row>
    <row r="574" spans="3:7" x14ac:dyDescent="0.35">
      <c r="C574" s="193"/>
      <c r="D574" s="193"/>
      <c r="E574" s="196"/>
      <c r="F574" s="206"/>
      <c r="G574" s="206"/>
    </row>
    <row r="575" spans="3:7" x14ac:dyDescent="0.35">
      <c r="C575" s="193"/>
      <c r="D575" s="193"/>
      <c r="E575" s="196"/>
      <c r="F575" s="206"/>
      <c r="G575" s="206"/>
    </row>
    <row r="576" spans="3:7" x14ac:dyDescent="0.35">
      <c r="C576" s="193"/>
      <c r="D576" s="193"/>
      <c r="E576" s="196"/>
      <c r="F576" s="206"/>
      <c r="G576" s="206"/>
    </row>
    <row r="577" spans="3:7" x14ac:dyDescent="0.35">
      <c r="C577" s="193"/>
      <c r="D577" s="193"/>
      <c r="E577" s="196"/>
      <c r="F577" s="206"/>
      <c r="G577" s="206"/>
    </row>
    <row r="578" spans="3:7" x14ac:dyDescent="0.35">
      <c r="C578" s="193"/>
      <c r="D578" s="193"/>
      <c r="E578" s="196"/>
      <c r="F578" s="206"/>
      <c r="G578" s="206"/>
    </row>
    <row r="579" spans="3:7" x14ac:dyDescent="0.35">
      <c r="C579" s="193"/>
      <c r="D579" s="193"/>
      <c r="E579" s="196"/>
      <c r="F579" s="206"/>
      <c r="G579" s="206"/>
    </row>
    <row r="580" spans="3:7" x14ac:dyDescent="0.35">
      <c r="C580" s="193"/>
      <c r="D580" s="193"/>
      <c r="E580" s="196"/>
      <c r="F580" s="206"/>
      <c r="G580" s="206"/>
    </row>
    <row r="581" spans="3:7" x14ac:dyDescent="0.35">
      <c r="C581" s="193"/>
      <c r="D581" s="193"/>
      <c r="E581" s="196"/>
      <c r="F581" s="206"/>
      <c r="G581" s="206"/>
    </row>
    <row r="582" spans="3:7" x14ac:dyDescent="0.35">
      <c r="C582" s="193"/>
      <c r="D582" s="193"/>
      <c r="E582" s="196"/>
      <c r="F582" s="206"/>
      <c r="G582" s="206"/>
    </row>
    <row r="583" spans="3:7" x14ac:dyDescent="0.35">
      <c r="C583" s="193"/>
      <c r="D583" s="193"/>
      <c r="E583" s="196"/>
      <c r="F583" s="206"/>
      <c r="G583" s="206"/>
    </row>
    <row r="584" spans="3:7" x14ac:dyDescent="0.35">
      <c r="C584" s="193"/>
      <c r="D584" s="193"/>
      <c r="E584" s="196"/>
      <c r="F584" s="206"/>
      <c r="G584" s="206"/>
    </row>
    <row r="585" spans="3:7" x14ac:dyDescent="0.35">
      <c r="C585" s="193"/>
      <c r="D585" s="193"/>
      <c r="E585" s="196"/>
      <c r="F585" s="206"/>
      <c r="G585" s="206"/>
    </row>
    <row r="586" spans="3:7" x14ac:dyDescent="0.35">
      <c r="C586" s="193"/>
      <c r="D586" s="193"/>
      <c r="E586" s="196"/>
      <c r="F586" s="206"/>
      <c r="G586" s="206"/>
    </row>
    <row r="587" spans="3:7" x14ac:dyDescent="0.35">
      <c r="C587" s="193"/>
      <c r="D587" s="193"/>
      <c r="E587" s="196"/>
      <c r="F587" s="206"/>
      <c r="G587" s="206"/>
    </row>
    <row r="588" spans="3:7" x14ac:dyDescent="0.35">
      <c r="C588" s="193"/>
      <c r="D588" s="193"/>
      <c r="E588" s="196"/>
      <c r="F588" s="206"/>
      <c r="G588" s="206"/>
    </row>
    <row r="589" spans="3:7" x14ac:dyDescent="0.35">
      <c r="C589" s="193"/>
      <c r="D589" s="193"/>
      <c r="E589" s="196"/>
      <c r="F589" s="206"/>
      <c r="G589" s="206"/>
    </row>
    <row r="590" spans="3:7" x14ac:dyDescent="0.35">
      <c r="C590" s="193"/>
      <c r="D590" s="193"/>
      <c r="E590" s="196"/>
      <c r="F590" s="206"/>
      <c r="G590" s="206"/>
    </row>
    <row r="591" spans="3:7" x14ac:dyDescent="0.35">
      <c r="C591" s="193"/>
      <c r="D591" s="193"/>
      <c r="E591" s="196"/>
      <c r="F591" s="206"/>
      <c r="G591" s="206"/>
    </row>
    <row r="592" spans="3:7" x14ac:dyDescent="0.35">
      <c r="C592" s="193"/>
      <c r="D592" s="193"/>
      <c r="E592" s="196"/>
      <c r="F592" s="206"/>
      <c r="G592" s="206"/>
    </row>
    <row r="593" spans="3:7" x14ac:dyDescent="0.35">
      <c r="C593" s="193"/>
      <c r="D593" s="193"/>
      <c r="E593" s="196"/>
      <c r="F593" s="206"/>
      <c r="G593" s="206"/>
    </row>
    <row r="594" spans="3:7" x14ac:dyDescent="0.35">
      <c r="C594" s="193"/>
      <c r="D594" s="193"/>
      <c r="E594" s="196"/>
      <c r="F594" s="206"/>
      <c r="G594" s="206"/>
    </row>
    <row r="595" spans="3:7" x14ac:dyDescent="0.35">
      <c r="C595" s="193"/>
      <c r="D595" s="193"/>
      <c r="E595" s="196"/>
      <c r="F595" s="206"/>
      <c r="G595" s="206"/>
    </row>
    <row r="596" spans="3:7" x14ac:dyDescent="0.35">
      <c r="C596" s="193"/>
      <c r="D596" s="193"/>
      <c r="E596" s="196"/>
      <c r="F596" s="206"/>
      <c r="G596" s="206"/>
    </row>
    <row r="597" spans="3:7" x14ac:dyDescent="0.35">
      <c r="C597" s="193"/>
      <c r="D597" s="193"/>
      <c r="E597" s="196"/>
      <c r="F597" s="206"/>
      <c r="G597" s="206"/>
    </row>
    <row r="598" spans="3:7" x14ac:dyDescent="0.35">
      <c r="C598" s="193"/>
      <c r="D598" s="193"/>
      <c r="E598" s="196"/>
      <c r="F598" s="206"/>
      <c r="G598" s="206"/>
    </row>
    <row r="599" spans="3:7" x14ac:dyDescent="0.35">
      <c r="C599" s="193"/>
      <c r="D599" s="193"/>
      <c r="E599" s="196"/>
      <c r="F599" s="206"/>
      <c r="G599" s="206"/>
    </row>
    <row r="600" spans="3:7" x14ac:dyDescent="0.35">
      <c r="C600" s="193"/>
      <c r="D600" s="193"/>
      <c r="E600" s="196"/>
      <c r="F600" s="206"/>
      <c r="G600" s="206"/>
    </row>
    <row r="601" spans="3:7" x14ac:dyDescent="0.35">
      <c r="C601" s="193"/>
      <c r="D601" s="193"/>
      <c r="E601" s="196"/>
      <c r="F601" s="206"/>
      <c r="G601" s="206"/>
    </row>
    <row r="602" spans="3:7" x14ac:dyDescent="0.35">
      <c r="C602" s="193"/>
      <c r="D602" s="193"/>
      <c r="E602" s="196"/>
      <c r="F602" s="206"/>
      <c r="G602" s="206"/>
    </row>
    <row r="603" spans="3:7" x14ac:dyDescent="0.35">
      <c r="C603" s="193"/>
      <c r="D603" s="193"/>
      <c r="E603" s="196"/>
      <c r="F603" s="206"/>
      <c r="G603" s="206"/>
    </row>
    <row r="604" spans="3:7" x14ac:dyDescent="0.35">
      <c r="C604" s="193"/>
      <c r="D604" s="193"/>
      <c r="E604" s="196"/>
      <c r="F604" s="206"/>
      <c r="G604" s="206"/>
    </row>
    <row r="605" spans="3:7" x14ac:dyDescent="0.35">
      <c r="C605" s="193"/>
      <c r="D605" s="193"/>
      <c r="E605" s="196"/>
      <c r="F605" s="206"/>
      <c r="G605" s="206"/>
    </row>
    <row r="606" spans="3:7" x14ac:dyDescent="0.35">
      <c r="C606" s="193"/>
      <c r="D606" s="193"/>
      <c r="E606" s="196"/>
      <c r="F606" s="206"/>
      <c r="G606" s="206"/>
    </row>
    <row r="607" spans="3:7" x14ac:dyDescent="0.35">
      <c r="C607" s="193"/>
      <c r="D607" s="193"/>
      <c r="E607" s="196"/>
      <c r="F607" s="206"/>
      <c r="G607" s="206"/>
    </row>
    <row r="608" spans="3:7" x14ac:dyDescent="0.35">
      <c r="C608" s="193"/>
      <c r="D608" s="193"/>
      <c r="E608" s="196"/>
      <c r="F608" s="206"/>
      <c r="G608" s="206"/>
    </row>
    <row r="609" spans="3:7" x14ac:dyDescent="0.35">
      <c r="C609" s="193"/>
      <c r="D609" s="193"/>
      <c r="E609" s="196"/>
      <c r="F609" s="206"/>
      <c r="G609" s="206"/>
    </row>
    <row r="610" spans="3:7" x14ac:dyDescent="0.35">
      <c r="C610" s="193"/>
      <c r="D610" s="193"/>
      <c r="E610" s="196"/>
      <c r="F610" s="206"/>
      <c r="G610" s="206"/>
    </row>
    <row r="611" spans="3:7" x14ac:dyDescent="0.35">
      <c r="C611" s="193"/>
      <c r="D611" s="193"/>
      <c r="E611" s="196"/>
      <c r="F611" s="206"/>
      <c r="G611" s="206"/>
    </row>
    <row r="612" spans="3:7" x14ac:dyDescent="0.35">
      <c r="C612" s="193"/>
      <c r="D612" s="193"/>
      <c r="E612" s="196"/>
      <c r="F612" s="206"/>
      <c r="G612" s="206"/>
    </row>
    <row r="613" spans="3:7" x14ac:dyDescent="0.35">
      <c r="C613" s="193"/>
      <c r="D613" s="193"/>
      <c r="E613" s="196"/>
      <c r="F613" s="206"/>
      <c r="G613" s="206"/>
    </row>
    <row r="614" spans="3:7" x14ac:dyDescent="0.35">
      <c r="C614" s="193"/>
      <c r="D614" s="193"/>
      <c r="E614" s="196"/>
      <c r="F614" s="206"/>
      <c r="G614" s="206"/>
    </row>
    <row r="615" spans="3:7" x14ac:dyDescent="0.35">
      <c r="C615" s="193"/>
      <c r="D615" s="193"/>
      <c r="E615" s="196"/>
      <c r="F615" s="206"/>
      <c r="G615" s="206"/>
    </row>
    <row r="616" spans="3:7" x14ac:dyDescent="0.35">
      <c r="C616" s="193"/>
      <c r="D616" s="193"/>
      <c r="E616" s="196"/>
      <c r="F616" s="206"/>
      <c r="G616" s="206"/>
    </row>
    <row r="617" spans="3:7" x14ac:dyDescent="0.35">
      <c r="C617" s="193"/>
      <c r="D617" s="193"/>
      <c r="E617" s="196"/>
      <c r="F617" s="206"/>
      <c r="G617" s="206"/>
    </row>
    <row r="618" spans="3:7" x14ac:dyDescent="0.35">
      <c r="C618" s="193"/>
      <c r="D618" s="193"/>
      <c r="E618" s="196"/>
      <c r="F618" s="206"/>
      <c r="G618" s="206"/>
    </row>
    <row r="619" spans="3:7" x14ac:dyDescent="0.35">
      <c r="C619" s="193"/>
      <c r="D619" s="193"/>
      <c r="E619" s="196"/>
      <c r="F619" s="206"/>
      <c r="G619" s="206"/>
    </row>
    <row r="620" spans="3:7" x14ac:dyDescent="0.35">
      <c r="C620" s="193"/>
      <c r="D620" s="193"/>
      <c r="E620" s="196"/>
      <c r="F620" s="206"/>
      <c r="G620" s="206"/>
    </row>
    <row r="621" spans="3:7" x14ac:dyDescent="0.35">
      <c r="C621" s="193"/>
      <c r="D621" s="193"/>
      <c r="E621" s="196"/>
      <c r="F621" s="206"/>
      <c r="G621" s="206"/>
    </row>
    <row r="622" spans="3:7" x14ac:dyDescent="0.35">
      <c r="C622" s="193"/>
      <c r="D622" s="193"/>
      <c r="E622" s="196"/>
      <c r="F622" s="206"/>
      <c r="G622" s="206"/>
    </row>
    <row r="623" spans="3:7" x14ac:dyDescent="0.35">
      <c r="C623" s="193"/>
      <c r="D623" s="193"/>
      <c r="E623" s="196"/>
      <c r="F623" s="206"/>
      <c r="G623" s="206"/>
    </row>
    <row r="624" spans="3:7" x14ac:dyDescent="0.35">
      <c r="C624" s="193"/>
      <c r="D624" s="193"/>
      <c r="E624" s="196"/>
      <c r="F624" s="206"/>
      <c r="G624" s="206"/>
    </row>
    <row r="625" spans="3:7" x14ac:dyDescent="0.35">
      <c r="C625" s="193"/>
      <c r="D625" s="193"/>
      <c r="E625" s="196"/>
      <c r="F625" s="206"/>
      <c r="G625" s="206"/>
    </row>
    <row r="626" spans="3:7" x14ac:dyDescent="0.35">
      <c r="C626" s="193"/>
      <c r="D626" s="193"/>
      <c r="E626" s="196"/>
      <c r="F626" s="206"/>
      <c r="G626" s="206"/>
    </row>
    <row r="627" spans="3:7" x14ac:dyDescent="0.35">
      <c r="C627" s="193"/>
      <c r="D627" s="193"/>
      <c r="E627" s="196"/>
      <c r="F627" s="206"/>
      <c r="G627" s="206"/>
    </row>
    <row r="628" spans="3:7" x14ac:dyDescent="0.35">
      <c r="C628" s="193"/>
      <c r="D628" s="193"/>
      <c r="E628" s="196"/>
      <c r="F628" s="206"/>
      <c r="G628" s="206"/>
    </row>
    <row r="629" spans="3:7" x14ac:dyDescent="0.35">
      <c r="C629" s="193"/>
      <c r="D629" s="193"/>
      <c r="E629" s="196"/>
      <c r="F629" s="206"/>
      <c r="G629" s="206"/>
    </row>
    <row r="630" spans="3:7" x14ac:dyDescent="0.35">
      <c r="C630" s="193"/>
      <c r="D630" s="193"/>
      <c r="E630" s="196"/>
      <c r="F630" s="206"/>
      <c r="G630" s="206"/>
    </row>
    <row r="631" spans="3:7" x14ac:dyDescent="0.35">
      <c r="C631" s="193"/>
      <c r="D631" s="193"/>
      <c r="E631" s="196"/>
      <c r="F631" s="206"/>
      <c r="G631" s="206"/>
    </row>
    <row r="632" spans="3:7" x14ac:dyDescent="0.35">
      <c r="C632" s="193"/>
      <c r="D632" s="193"/>
      <c r="E632" s="196"/>
      <c r="F632" s="206"/>
      <c r="G632" s="206"/>
    </row>
    <row r="633" spans="3:7" x14ac:dyDescent="0.35">
      <c r="C633" s="193"/>
      <c r="D633" s="193"/>
      <c r="E633" s="196"/>
      <c r="F633" s="206"/>
      <c r="G633" s="206"/>
    </row>
    <row r="634" spans="3:7" x14ac:dyDescent="0.35">
      <c r="C634" s="193"/>
      <c r="D634" s="193"/>
      <c r="E634" s="196"/>
      <c r="F634" s="206"/>
      <c r="G634" s="206"/>
    </row>
    <row r="635" spans="3:7" x14ac:dyDescent="0.35">
      <c r="C635" s="193"/>
      <c r="D635" s="193"/>
      <c r="E635" s="196"/>
      <c r="F635" s="206"/>
      <c r="G635" s="206"/>
    </row>
    <row r="636" spans="3:7" x14ac:dyDescent="0.35">
      <c r="C636" s="193"/>
      <c r="D636" s="193"/>
      <c r="E636" s="196"/>
      <c r="F636" s="206"/>
      <c r="G636" s="206"/>
    </row>
    <row r="637" spans="3:7" x14ac:dyDescent="0.35">
      <c r="C637" s="193"/>
      <c r="D637" s="193"/>
      <c r="E637" s="196"/>
      <c r="F637" s="206"/>
      <c r="G637" s="206"/>
    </row>
    <row r="638" spans="3:7" x14ac:dyDescent="0.35">
      <c r="C638" s="193"/>
      <c r="D638" s="193"/>
      <c r="E638" s="196"/>
      <c r="F638" s="206"/>
      <c r="G638" s="206"/>
    </row>
    <row r="639" spans="3:7" x14ac:dyDescent="0.35">
      <c r="C639" s="193"/>
      <c r="D639" s="193"/>
      <c r="E639" s="196"/>
      <c r="F639" s="206"/>
      <c r="G639" s="206"/>
    </row>
    <row r="640" spans="3:7" x14ac:dyDescent="0.35">
      <c r="C640" s="193"/>
      <c r="D640" s="193"/>
      <c r="E640" s="196"/>
      <c r="F640" s="206"/>
      <c r="G640" s="206"/>
    </row>
    <row r="641" spans="3:7" x14ac:dyDescent="0.35">
      <c r="C641" s="193"/>
      <c r="D641" s="193"/>
      <c r="E641" s="196"/>
      <c r="F641" s="206"/>
      <c r="G641" s="206"/>
    </row>
    <row r="642" spans="3:7" x14ac:dyDescent="0.35">
      <c r="C642" s="193"/>
      <c r="D642" s="193"/>
      <c r="E642" s="196"/>
      <c r="F642" s="206"/>
      <c r="G642" s="206"/>
    </row>
    <row r="643" spans="3:7" x14ac:dyDescent="0.35">
      <c r="C643" s="193"/>
      <c r="D643" s="193"/>
      <c r="E643" s="196"/>
      <c r="F643" s="206"/>
      <c r="G643" s="206"/>
    </row>
    <row r="644" spans="3:7" x14ac:dyDescent="0.35">
      <c r="C644" s="193"/>
      <c r="D644" s="193"/>
      <c r="E644" s="196"/>
      <c r="F644" s="206"/>
      <c r="G644" s="206"/>
    </row>
    <row r="645" spans="3:7" x14ac:dyDescent="0.35">
      <c r="C645" s="193"/>
      <c r="D645" s="193"/>
      <c r="E645" s="196"/>
      <c r="F645" s="206"/>
      <c r="G645" s="206"/>
    </row>
    <row r="646" spans="3:7" x14ac:dyDescent="0.35">
      <c r="C646" s="193"/>
      <c r="D646" s="193"/>
      <c r="E646" s="196"/>
      <c r="F646" s="206"/>
      <c r="G646" s="206"/>
    </row>
    <row r="647" spans="3:7" x14ac:dyDescent="0.35">
      <c r="C647" s="193"/>
      <c r="D647" s="193"/>
      <c r="E647" s="196"/>
      <c r="F647" s="206"/>
      <c r="G647" s="206"/>
    </row>
    <row r="648" spans="3:7" x14ac:dyDescent="0.35">
      <c r="C648" s="193"/>
      <c r="D648" s="193"/>
      <c r="E648" s="196"/>
      <c r="F648" s="206"/>
      <c r="G648" s="206"/>
    </row>
    <row r="649" spans="3:7" x14ac:dyDescent="0.35">
      <c r="C649" s="193"/>
      <c r="D649" s="193"/>
      <c r="E649" s="196"/>
      <c r="F649" s="206"/>
      <c r="G649" s="206"/>
    </row>
    <row r="650" spans="3:7" x14ac:dyDescent="0.35">
      <c r="C650" s="193"/>
      <c r="D650" s="193"/>
      <c r="E650" s="196"/>
      <c r="F650" s="206"/>
      <c r="G650" s="206"/>
    </row>
    <row r="651" spans="3:7" x14ac:dyDescent="0.35">
      <c r="C651" s="193"/>
      <c r="D651" s="193"/>
      <c r="E651" s="196"/>
      <c r="F651" s="206"/>
      <c r="G651" s="206"/>
    </row>
    <row r="652" spans="3:7" x14ac:dyDescent="0.35">
      <c r="C652" s="193"/>
      <c r="D652" s="193"/>
      <c r="E652" s="196"/>
      <c r="F652" s="206"/>
      <c r="G652" s="206"/>
    </row>
    <row r="653" spans="3:7" x14ac:dyDescent="0.35">
      <c r="C653" s="193"/>
      <c r="D653" s="193"/>
      <c r="E653" s="196"/>
      <c r="F653" s="206"/>
      <c r="G653" s="206"/>
    </row>
    <row r="654" spans="3:7" x14ac:dyDescent="0.35">
      <c r="C654" s="193"/>
      <c r="D654" s="193"/>
      <c r="E654" s="196"/>
      <c r="F654" s="206"/>
      <c r="G654" s="206"/>
    </row>
    <row r="655" spans="3:7" x14ac:dyDescent="0.35">
      <c r="C655" s="193"/>
      <c r="D655" s="193"/>
      <c r="E655" s="196"/>
      <c r="F655" s="206"/>
      <c r="G655" s="206"/>
    </row>
    <row r="656" spans="3:7" x14ac:dyDescent="0.35">
      <c r="C656" s="193"/>
      <c r="D656" s="193"/>
      <c r="E656" s="196"/>
      <c r="F656" s="206"/>
      <c r="G656" s="206"/>
    </row>
    <row r="657" spans="3:7" x14ac:dyDescent="0.35">
      <c r="C657" s="193"/>
      <c r="D657" s="193"/>
      <c r="E657" s="196"/>
      <c r="F657" s="206"/>
      <c r="G657" s="206"/>
    </row>
    <row r="658" spans="3:7" x14ac:dyDescent="0.35">
      <c r="C658" s="193"/>
      <c r="D658" s="193"/>
      <c r="E658" s="196"/>
      <c r="F658" s="206"/>
      <c r="G658" s="206"/>
    </row>
    <row r="659" spans="3:7" x14ac:dyDescent="0.35">
      <c r="C659" s="193"/>
      <c r="D659" s="193"/>
      <c r="E659" s="196"/>
      <c r="F659" s="206"/>
      <c r="G659" s="206"/>
    </row>
    <row r="660" spans="3:7" x14ac:dyDescent="0.35">
      <c r="C660" s="193"/>
      <c r="D660" s="193"/>
      <c r="E660" s="196"/>
      <c r="F660" s="206"/>
      <c r="G660" s="206"/>
    </row>
    <row r="661" spans="3:7" x14ac:dyDescent="0.35">
      <c r="C661" s="193"/>
      <c r="D661" s="193"/>
      <c r="E661" s="196"/>
      <c r="F661" s="206"/>
      <c r="G661" s="206"/>
    </row>
    <row r="662" spans="3:7" x14ac:dyDescent="0.35">
      <c r="C662" s="193"/>
      <c r="D662" s="193"/>
      <c r="E662" s="196"/>
      <c r="F662" s="206"/>
      <c r="G662" s="206"/>
    </row>
    <row r="663" spans="3:7" x14ac:dyDescent="0.35">
      <c r="C663" s="193"/>
      <c r="D663" s="193"/>
      <c r="E663" s="196"/>
      <c r="F663" s="206"/>
      <c r="G663" s="206"/>
    </row>
    <row r="664" spans="3:7" x14ac:dyDescent="0.35">
      <c r="C664" s="193"/>
      <c r="D664" s="193"/>
      <c r="E664" s="196"/>
      <c r="F664" s="206"/>
      <c r="G664" s="206"/>
    </row>
    <row r="665" spans="3:7" x14ac:dyDescent="0.35">
      <c r="C665" s="193"/>
      <c r="D665" s="193"/>
      <c r="E665" s="196"/>
      <c r="F665" s="206"/>
      <c r="G665" s="206"/>
    </row>
    <row r="666" spans="3:7" x14ac:dyDescent="0.35">
      <c r="C666" s="193"/>
      <c r="D666" s="193"/>
      <c r="E666" s="196"/>
      <c r="F666" s="206"/>
      <c r="G666" s="206"/>
    </row>
    <row r="667" spans="3:7" x14ac:dyDescent="0.35">
      <c r="C667" s="193"/>
      <c r="D667" s="193"/>
      <c r="E667" s="196"/>
      <c r="F667" s="206"/>
      <c r="G667" s="206"/>
    </row>
    <row r="668" spans="3:7" x14ac:dyDescent="0.35">
      <c r="C668" s="193"/>
      <c r="D668" s="193"/>
      <c r="E668" s="196"/>
      <c r="F668" s="206"/>
      <c r="G668" s="206"/>
    </row>
    <row r="669" spans="3:7" x14ac:dyDescent="0.35">
      <c r="C669" s="193"/>
      <c r="D669" s="193"/>
      <c r="E669" s="196"/>
      <c r="F669" s="206"/>
      <c r="G669" s="206"/>
    </row>
    <row r="670" spans="3:7" x14ac:dyDescent="0.35">
      <c r="C670" s="193"/>
      <c r="D670" s="193"/>
      <c r="E670" s="196"/>
      <c r="F670" s="206"/>
      <c r="G670" s="206"/>
    </row>
    <row r="671" spans="3:7" x14ac:dyDescent="0.35">
      <c r="C671" s="193"/>
      <c r="D671" s="193"/>
      <c r="E671" s="196"/>
      <c r="F671" s="206"/>
      <c r="G671" s="206"/>
    </row>
    <row r="672" spans="3:7" x14ac:dyDescent="0.35">
      <c r="C672" s="193"/>
      <c r="D672" s="193"/>
      <c r="E672" s="196"/>
      <c r="F672" s="206"/>
      <c r="G672" s="206"/>
    </row>
    <row r="673" spans="3:7" x14ac:dyDescent="0.35">
      <c r="C673" s="193"/>
      <c r="D673" s="193"/>
      <c r="E673" s="196"/>
      <c r="F673" s="206"/>
      <c r="G673" s="206"/>
    </row>
    <row r="674" spans="3:7" x14ac:dyDescent="0.35">
      <c r="C674" s="193"/>
      <c r="D674" s="193"/>
      <c r="E674" s="196"/>
      <c r="F674" s="206"/>
      <c r="G674" s="206"/>
    </row>
    <row r="675" spans="3:7" x14ac:dyDescent="0.35">
      <c r="C675" s="193"/>
      <c r="D675" s="193"/>
      <c r="E675" s="196"/>
      <c r="F675" s="206"/>
      <c r="G675" s="206"/>
    </row>
    <row r="676" spans="3:7" x14ac:dyDescent="0.35">
      <c r="C676" s="193"/>
      <c r="D676" s="193"/>
      <c r="E676" s="196"/>
      <c r="F676" s="206"/>
      <c r="G676" s="206"/>
    </row>
    <row r="677" spans="3:7" x14ac:dyDescent="0.35">
      <c r="C677" s="193"/>
      <c r="D677" s="193"/>
      <c r="E677" s="196"/>
      <c r="F677" s="206"/>
      <c r="G677" s="206"/>
    </row>
    <row r="678" spans="3:7" x14ac:dyDescent="0.35">
      <c r="C678" s="193"/>
      <c r="D678" s="193"/>
      <c r="E678" s="196"/>
      <c r="F678" s="206"/>
      <c r="G678" s="206"/>
    </row>
    <row r="679" spans="3:7" x14ac:dyDescent="0.35">
      <c r="C679" s="193"/>
      <c r="D679" s="193"/>
      <c r="E679" s="196"/>
      <c r="F679" s="206"/>
      <c r="G679" s="206"/>
    </row>
    <row r="680" spans="3:7" x14ac:dyDescent="0.35">
      <c r="C680" s="193"/>
      <c r="D680" s="193"/>
      <c r="E680" s="196"/>
      <c r="F680" s="206"/>
      <c r="G680" s="206"/>
    </row>
    <row r="681" spans="3:7" x14ac:dyDescent="0.35">
      <c r="C681" s="193"/>
      <c r="D681" s="193"/>
      <c r="E681" s="196"/>
      <c r="F681" s="206"/>
      <c r="G681" s="206"/>
    </row>
    <row r="682" spans="3:7" x14ac:dyDescent="0.35">
      <c r="C682" s="193"/>
      <c r="D682" s="193"/>
      <c r="E682" s="196"/>
      <c r="F682" s="206"/>
      <c r="G682" s="206"/>
    </row>
    <row r="683" spans="3:7" x14ac:dyDescent="0.35">
      <c r="C683" s="193"/>
      <c r="D683" s="193"/>
      <c r="E683" s="196"/>
      <c r="F683" s="206"/>
      <c r="G683" s="206"/>
    </row>
    <row r="684" spans="3:7" x14ac:dyDescent="0.35">
      <c r="C684" s="193"/>
      <c r="D684" s="193"/>
      <c r="E684" s="196"/>
      <c r="F684" s="206"/>
      <c r="G684" s="206"/>
    </row>
    <row r="685" spans="3:7" x14ac:dyDescent="0.35">
      <c r="C685" s="193"/>
      <c r="D685" s="193"/>
      <c r="E685" s="196"/>
      <c r="F685" s="206"/>
      <c r="G685" s="206"/>
    </row>
    <row r="686" spans="3:7" x14ac:dyDescent="0.35">
      <c r="C686" s="193"/>
      <c r="D686" s="193"/>
      <c r="E686" s="196"/>
      <c r="F686" s="206"/>
      <c r="G686" s="206"/>
    </row>
    <row r="687" spans="3:7" x14ac:dyDescent="0.35">
      <c r="C687" s="193"/>
      <c r="D687" s="193"/>
      <c r="E687" s="196"/>
      <c r="F687" s="206"/>
      <c r="G687" s="206"/>
    </row>
    <row r="688" spans="3:7" x14ac:dyDescent="0.35">
      <c r="C688" s="193"/>
      <c r="D688" s="193"/>
      <c r="E688" s="196"/>
      <c r="F688" s="206"/>
      <c r="G688" s="206"/>
    </row>
    <row r="689" spans="3:7" x14ac:dyDescent="0.35">
      <c r="C689" s="193"/>
      <c r="D689" s="193"/>
      <c r="E689" s="196"/>
      <c r="F689" s="206"/>
      <c r="G689" s="206"/>
    </row>
    <row r="690" spans="3:7" x14ac:dyDescent="0.35">
      <c r="C690" s="193"/>
      <c r="D690" s="193"/>
      <c r="E690" s="196"/>
      <c r="F690" s="206"/>
      <c r="G690" s="206"/>
    </row>
    <row r="691" spans="3:7" x14ac:dyDescent="0.35">
      <c r="C691" s="193"/>
      <c r="D691" s="193"/>
      <c r="E691" s="196"/>
      <c r="F691" s="206"/>
      <c r="G691" s="206"/>
    </row>
    <row r="692" spans="3:7" x14ac:dyDescent="0.35">
      <c r="C692" s="193"/>
      <c r="D692" s="193"/>
      <c r="E692" s="196"/>
      <c r="F692" s="206"/>
      <c r="G692" s="206"/>
    </row>
    <row r="693" spans="3:7" x14ac:dyDescent="0.35">
      <c r="C693" s="193"/>
      <c r="D693" s="193"/>
      <c r="E693" s="196"/>
      <c r="F693" s="206"/>
      <c r="G693" s="206"/>
    </row>
    <row r="694" spans="3:7" x14ac:dyDescent="0.35">
      <c r="C694" s="193"/>
      <c r="D694" s="193"/>
      <c r="E694" s="196"/>
      <c r="F694" s="206"/>
      <c r="G694" s="206"/>
    </row>
    <row r="695" spans="3:7" x14ac:dyDescent="0.35">
      <c r="C695" s="193"/>
      <c r="D695" s="193"/>
      <c r="E695" s="196"/>
      <c r="F695" s="206"/>
      <c r="G695" s="206"/>
    </row>
    <row r="696" spans="3:7" x14ac:dyDescent="0.35">
      <c r="C696" s="193"/>
      <c r="D696" s="193"/>
      <c r="E696" s="196"/>
      <c r="F696" s="206"/>
      <c r="G696" s="206"/>
    </row>
    <row r="697" spans="3:7" x14ac:dyDescent="0.35">
      <c r="C697" s="193"/>
      <c r="D697" s="193"/>
      <c r="E697" s="196"/>
      <c r="F697" s="206"/>
      <c r="G697" s="206"/>
    </row>
    <row r="698" spans="3:7" x14ac:dyDescent="0.35">
      <c r="C698" s="193"/>
      <c r="D698" s="193"/>
      <c r="E698" s="196"/>
      <c r="F698" s="206"/>
      <c r="G698" s="206"/>
    </row>
    <row r="699" spans="3:7" x14ac:dyDescent="0.35">
      <c r="C699" s="193"/>
      <c r="D699" s="193"/>
      <c r="E699" s="196"/>
      <c r="F699" s="206"/>
      <c r="G699" s="206"/>
    </row>
    <row r="700" spans="3:7" x14ac:dyDescent="0.35">
      <c r="C700" s="193"/>
      <c r="D700" s="193"/>
      <c r="E700" s="196"/>
      <c r="F700" s="206"/>
      <c r="G700" s="206"/>
    </row>
    <row r="701" spans="3:7" x14ac:dyDescent="0.35">
      <c r="C701" s="193"/>
      <c r="D701" s="193"/>
      <c r="E701" s="196"/>
      <c r="F701" s="206"/>
      <c r="G701" s="206"/>
    </row>
    <row r="702" spans="3:7" x14ac:dyDescent="0.35">
      <c r="C702" s="193"/>
      <c r="D702" s="193"/>
      <c r="E702" s="196"/>
      <c r="F702" s="206"/>
      <c r="G702" s="206"/>
    </row>
    <row r="703" spans="3:7" x14ac:dyDescent="0.35">
      <c r="C703" s="193"/>
      <c r="D703" s="193"/>
      <c r="E703" s="196"/>
      <c r="F703" s="206"/>
      <c r="G703" s="206"/>
    </row>
    <row r="704" spans="3:7" x14ac:dyDescent="0.35">
      <c r="C704" s="193"/>
      <c r="D704" s="193"/>
      <c r="E704" s="196"/>
      <c r="F704" s="206"/>
      <c r="G704" s="206"/>
    </row>
    <row r="705" spans="3:7" x14ac:dyDescent="0.35">
      <c r="C705" s="193"/>
      <c r="D705" s="193"/>
      <c r="E705" s="196"/>
      <c r="F705" s="206"/>
      <c r="G705" s="206"/>
    </row>
    <row r="706" spans="3:7" x14ac:dyDescent="0.35">
      <c r="C706" s="193"/>
      <c r="D706" s="193"/>
      <c r="E706" s="196"/>
      <c r="F706" s="206"/>
      <c r="G706" s="206"/>
    </row>
    <row r="707" spans="3:7" x14ac:dyDescent="0.35">
      <c r="C707" s="193"/>
      <c r="D707" s="193"/>
      <c r="E707" s="196"/>
      <c r="F707" s="206"/>
      <c r="G707" s="206"/>
    </row>
    <row r="708" spans="3:7" x14ac:dyDescent="0.35">
      <c r="C708" s="193"/>
      <c r="D708" s="193"/>
      <c r="E708" s="196"/>
      <c r="F708" s="206"/>
      <c r="G708" s="206"/>
    </row>
    <row r="709" spans="3:7" x14ac:dyDescent="0.35">
      <c r="C709" s="193"/>
      <c r="D709" s="193"/>
      <c r="E709" s="196"/>
      <c r="F709" s="206"/>
      <c r="G709" s="206"/>
    </row>
    <row r="710" spans="3:7" x14ac:dyDescent="0.35">
      <c r="C710" s="193"/>
      <c r="D710" s="193"/>
      <c r="E710" s="196"/>
      <c r="F710" s="206"/>
      <c r="G710" s="206"/>
    </row>
    <row r="711" spans="3:7" x14ac:dyDescent="0.35">
      <c r="C711" s="193"/>
      <c r="D711" s="193"/>
      <c r="E711" s="196"/>
      <c r="F711" s="206"/>
      <c r="G711" s="206"/>
    </row>
    <row r="712" spans="3:7" x14ac:dyDescent="0.35">
      <c r="C712" s="193"/>
      <c r="D712" s="193"/>
      <c r="E712" s="196"/>
      <c r="F712" s="206"/>
      <c r="G712" s="206"/>
    </row>
    <row r="713" spans="3:7" x14ac:dyDescent="0.35">
      <c r="C713" s="193"/>
      <c r="D713" s="193"/>
      <c r="E713" s="196"/>
      <c r="F713" s="206"/>
      <c r="G713" s="206"/>
    </row>
    <row r="714" spans="3:7" x14ac:dyDescent="0.35">
      <c r="C714" s="193"/>
      <c r="D714" s="193"/>
      <c r="E714" s="196"/>
      <c r="F714" s="206"/>
      <c r="G714" s="206"/>
    </row>
    <row r="715" spans="3:7" x14ac:dyDescent="0.35">
      <c r="C715" s="193"/>
      <c r="D715" s="193"/>
      <c r="E715" s="196"/>
      <c r="F715" s="206"/>
      <c r="G715" s="206"/>
    </row>
    <row r="716" spans="3:7" x14ac:dyDescent="0.35">
      <c r="C716" s="193"/>
      <c r="D716" s="193"/>
      <c r="E716" s="196"/>
      <c r="F716" s="206"/>
      <c r="G716" s="206"/>
    </row>
    <row r="717" spans="3:7" x14ac:dyDescent="0.35">
      <c r="C717" s="193"/>
      <c r="D717" s="193"/>
      <c r="E717" s="196"/>
      <c r="F717" s="206"/>
      <c r="G717" s="206"/>
    </row>
    <row r="718" spans="3:7" x14ac:dyDescent="0.35">
      <c r="C718" s="193"/>
      <c r="D718" s="193"/>
      <c r="E718" s="196"/>
      <c r="F718" s="206"/>
      <c r="G718" s="206"/>
    </row>
    <row r="719" spans="3:7" x14ac:dyDescent="0.35">
      <c r="C719" s="193"/>
      <c r="D719" s="193"/>
      <c r="E719" s="196"/>
      <c r="F719" s="206"/>
      <c r="G719" s="206"/>
    </row>
    <row r="720" spans="3:7" x14ac:dyDescent="0.35">
      <c r="C720" s="193"/>
      <c r="D720" s="193"/>
      <c r="E720" s="196"/>
      <c r="F720" s="206"/>
      <c r="G720" s="206"/>
    </row>
    <row r="721" spans="3:7" x14ac:dyDescent="0.35">
      <c r="C721" s="193"/>
      <c r="D721" s="193"/>
      <c r="E721" s="196"/>
      <c r="F721" s="206"/>
      <c r="G721" s="206"/>
    </row>
    <row r="722" spans="3:7" x14ac:dyDescent="0.35">
      <c r="C722" s="193"/>
      <c r="D722" s="193"/>
      <c r="E722" s="196"/>
      <c r="F722" s="206"/>
      <c r="G722" s="206"/>
    </row>
    <row r="723" spans="3:7" x14ac:dyDescent="0.35">
      <c r="C723" s="193"/>
      <c r="D723" s="193"/>
      <c r="E723" s="196"/>
      <c r="F723" s="206"/>
      <c r="G723" s="206"/>
    </row>
    <row r="724" spans="3:7" x14ac:dyDescent="0.35">
      <c r="C724" s="193"/>
      <c r="D724" s="193"/>
      <c r="E724" s="196"/>
      <c r="F724" s="206"/>
      <c r="G724" s="206"/>
    </row>
    <row r="725" spans="3:7" x14ac:dyDescent="0.35">
      <c r="C725" s="193"/>
      <c r="D725" s="193"/>
      <c r="E725" s="196"/>
      <c r="F725" s="206"/>
      <c r="G725" s="206"/>
    </row>
    <row r="726" spans="3:7" x14ac:dyDescent="0.35">
      <c r="C726" s="193"/>
      <c r="D726" s="193"/>
      <c r="E726" s="196"/>
      <c r="F726" s="206"/>
      <c r="G726" s="206"/>
    </row>
    <row r="727" spans="3:7" x14ac:dyDescent="0.35">
      <c r="C727" s="193"/>
      <c r="D727" s="193"/>
      <c r="E727" s="196"/>
      <c r="F727" s="206"/>
      <c r="G727" s="206"/>
    </row>
    <row r="728" spans="3:7" x14ac:dyDescent="0.35">
      <c r="C728" s="193"/>
      <c r="D728" s="193"/>
      <c r="E728" s="196"/>
      <c r="F728" s="206"/>
      <c r="G728" s="206"/>
    </row>
    <row r="729" spans="3:7" x14ac:dyDescent="0.35">
      <c r="C729" s="193"/>
      <c r="D729" s="193"/>
      <c r="E729" s="196"/>
      <c r="F729" s="206"/>
      <c r="G729" s="206"/>
    </row>
    <row r="730" spans="3:7" x14ac:dyDescent="0.35">
      <c r="C730" s="193"/>
      <c r="D730" s="193"/>
      <c r="E730" s="196"/>
      <c r="F730" s="206"/>
      <c r="G730" s="206"/>
    </row>
    <row r="731" spans="3:7" x14ac:dyDescent="0.35">
      <c r="C731" s="193"/>
      <c r="D731" s="193"/>
      <c r="E731" s="196"/>
      <c r="F731" s="206"/>
      <c r="G731" s="206"/>
    </row>
    <row r="732" spans="3:7" x14ac:dyDescent="0.35">
      <c r="C732" s="193"/>
      <c r="D732" s="193"/>
      <c r="E732" s="196"/>
      <c r="F732" s="206"/>
      <c r="G732" s="206"/>
    </row>
    <row r="733" spans="3:7" x14ac:dyDescent="0.35">
      <c r="C733" s="193"/>
      <c r="D733" s="193"/>
      <c r="E733" s="196"/>
      <c r="F733" s="206"/>
      <c r="G733" s="206"/>
    </row>
    <row r="734" spans="3:7" x14ac:dyDescent="0.35">
      <c r="C734" s="193"/>
      <c r="D734" s="193"/>
      <c r="E734" s="196"/>
      <c r="F734" s="206"/>
      <c r="G734" s="206"/>
    </row>
    <row r="735" spans="3:7" x14ac:dyDescent="0.35">
      <c r="C735" s="193"/>
      <c r="D735" s="193"/>
      <c r="E735" s="196"/>
      <c r="F735" s="206"/>
      <c r="G735" s="206"/>
    </row>
    <row r="736" spans="3:7" x14ac:dyDescent="0.35">
      <c r="C736" s="193"/>
      <c r="D736" s="193"/>
      <c r="E736" s="196"/>
      <c r="F736" s="206"/>
      <c r="G736" s="206"/>
    </row>
    <row r="737" spans="3:7" x14ac:dyDescent="0.35">
      <c r="C737" s="193"/>
      <c r="D737" s="193"/>
      <c r="E737" s="196"/>
      <c r="F737" s="206"/>
      <c r="G737" s="206"/>
    </row>
    <row r="738" spans="3:7" x14ac:dyDescent="0.35">
      <c r="C738" s="193"/>
      <c r="D738" s="193"/>
      <c r="E738" s="196"/>
      <c r="F738" s="206"/>
      <c r="G738" s="206"/>
    </row>
    <row r="739" spans="3:7" x14ac:dyDescent="0.35">
      <c r="C739" s="193"/>
      <c r="D739" s="193"/>
      <c r="E739" s="196"/>
      <c r="F739" s="206"/>
      <c r="G739" s="206"/>
    </row>
    <row r="740" spans="3:7" x14ac:dyDescent="0.35">
      <c r="C740" s="193"/>
      <c r="D740" s="193"/>
      <c r="E740" s="196"/>
      <c r="F740" s="206"/>
      <c r="G740" s="206"/>
    </row>
    <row r="741" spans="3:7" x14ac:dyDescent="0.35">
      <c r="C741" s="193"/>
      <c r="D741" s="193"/>
      <c r="E741" s="196"/>
      <c r="F741" s="206"/>
      <c r="G741" s="206"/>
    </row>
    <row r="742" spans="3:7" x14ac:dyDescent="0.35">
      <c r="C742" s="193"/>
      <c r="D742" s="193"/>
      <c r="E742" s="196"/>
      <c r="F742" s="206"/>
      <c r="G742" s="206"/>
    </row>
    <row r="743" spans="3:7" x14ac:dyDescent="0.35">
      <c r="C743" s="193"/>
      <c r="D743" s="193"/>
      <c r="E743" s="196"/>
      <c r="F743" s="206"/>
      <c r="G743" s="206"/>
    </row>
    <row r="744" spans="3:7" x14ac:dyDescent="0.35">
      <c r="C744" s="193"/>
      <c r="D744" s="193"/>
      <c r="E744" s="196"/>
      <c r="F744" s="206"/>
      <c r="G744" s="206"/>
    </row>
    <row r="745" spans="3:7" x14ac:dyDescent="0.35">
      <c r="C745" s="193"/>
      <c r="D745" s="193"/>
      <c r="E745" s="196"/>
      <c r="F745" s="206"/>
      <c r="G745" s="206"/>
    </row>
    <row r="746" spans="3:7" x14ac:dyDescent="0.35">
      <c r="C746" s="193"/>
      <c r="D746" s="193"/>
      <c r="E746" s="196"/>
      <c r="F746" s="206"/>
      <c r="G746" s="206"/>
    </row>
    <row r="747" spans="3:7" x14ac:dyDescent="0.35">
      <c r="C747" s="193"/>
      <c r="D747" s="193"/>
      <c r="E747" s="196"/>
      <c r="F747" s="206"/>
      <c r="G747" s="206"/>
    </row>
    <row r="748" spans="3:7" x14ac:dyDescent="0.35">
      <c r="C748" s="193"/>
      <c r="D748" s="193"/>
      <c r="E748" s="196"/>
      <c r="F748" s="206"/>
      <c r="G748" s="206"/>
    </row>
    <row r="749" spans="3:7" x14ac:dyDescent="0.35">
      <c r="C749" s="193"/>
      <c r="D749" s="193"/>
      <c r="E749" s="196"/>
      <c r="F749" s="206"/>
      <c r="G749" s="206"/>
    </row>
    <row r="750" spans="3:7" x14ac:dyDescent="0.35">
      <c r="C750" s="193"/>
      <c r="D750" s="193"/>
      <c r="E750" s="196"/>
      <c r="F750" s="206"/>
      <c r="G750" s="206"/>
    </row>
    <row r="751" spans="3:7" x14ac:dyDescent="0.35">
      <c r="C751" s="193"/>
      <c r="D751" s="193"/>
      <c r="E751" s="196"/>
      <c r="F751" s="206"/>
      <c r="G751" s="206"/>
    </row>
    <row r="752" spans="3:7" x14ac:dyDescent="0.35">
      <c r="C752" s="193"/>
      <c r="D752" s="193"/>
      <c r="E752" s="196"/>
      <c r="F752" s="206"/>
      <c r="G752" s="206"/>
    </row>
    <row r="753" spans="3:7" x14ac:dyDescent="0.35">
      <c r="C753" s="193"/>
      <c r="D753" s="193"/>
      <c r="E753" s="196"/>
      <c r="F753" s="206"/>
      <c r="G753" s="206"/>
    </row>
    <row r="754" spans="3:7" x14ac:dyDescent="0.35">
      <c r="C754" s="193"/>
      <c r="D754" s="193"/>
      <c r="E754" s="196"/>
      <c r="F754" s="206"/>
      <c r="G754" s="206"/>
    </row>
    <row r="755" spans="3:7" x14ac:dyDescent="0.35">
      <c r="C755" s="193"/>
      <c r="D755" s="193"/>
      <c r="E755" s="196"/>
      <c r="F755" s="206"/>
      <c r="G755" s="206"/>
    </row>
    <row r="756" spans="3:7" x14ac:dyDescent="0.35">
      <c r="C756" s="193"/>
      <c r="D756" s="193"/>
      <c r="E756" s="196"/>
      <c r="F756" s="206"/>
      <c r="G756" s="206"/>
    </row>
    <row r="757" spans="3:7" x14ac:dyDescent="0.35">
      <c r="C757" s="193"/>
      <c r="D757" s="193"/>
      <c r="E757" s="196"/>
      <c r="F757" s="206"/>
      <c r="G757" s="206"/>
    </row>
    <row r="758" spans="3:7" x14ac:dyDescent="0.35">
      <c r="C758" s="193"/>
      <c r="D758" s="193"/>
      <c r="E758" s="196"/>
      <c r="F758" s="206"/>
      <c r="G758" s="206"/>
    </row>
    <row r="759" spans="3:7" x14ac:dyDescent="0.35">
      <c r="C759" s="193"/>
      <c r="D759" s="193"/>
      <c r="E759" s="196"/>
      <c r="F759" s="206"/>
      <c r="G759" s="206"/>
    </row>
    <row r="760" spans="3:7" x14ac:dyDescent="0.35">
      <c r="C760" s="193"/>
      <c r="D760" s="193"/>
      <c r="E760" s="196"/>
      <c r="F760" s="206"/>
      <c r="G760" s="206"/>
    </row>
    <row r="761" spans="3:7" x14ac:dyDescent="0.35">
      <c r="C761" s="193"/>
      <c r="D761" s="193"/>
      <c r="E761" s="196"/>
      <c r="F761" s="206"/>
      <c r="G761" s="206"/>
    </row>
    <row r="762" spans="3:7" x14ac:dyDescent="0.35">
      <c r="C762" s="193"/>
      <c r="D762" s="193"/>
      <c r="E762" s="196"/>
      <c r="F762" s="206"/>
      <c r="G762" s="206"/>
    </row>
    <row r="763" spans="3:7" x14ac:dyDescent="0.35">
      <c r="C763" s="193"/>
      <c r="D763" s="193"/>
      <c r="E763" s="196"/>
      <c r="F763" s="206"/>
      <c r="G763" s="206"/>
    </row>
    <row r="764" spans="3:7" x14ac:dyDescent="0.35">
      <c r="C764" s="193"/>
      <c r="D764" s="193"/>
      <c r="E764" s="196"/>
      <c r="F764" s="206"/>
      <c r="G764" s="206"/>
    </row>
    <row r="765" spans="3:7" x14ac:dyDescent="0.35">
      <c r="C765" s="193"/>
      <c r="D765" s="193"/>
      <c r="E765" s="196"/>
      <c r="F765" s="206"/>
      <c r="G765" s="206"/>
    </row>
    <row r="766" spans="3:7" x14ac:dyDescent="0.35">
      <c r="C766" s="193"/>
      <c r="D766" s="193"/>
      <c r="E766" s="196"/>
      <c r="F766" s="206"/>
      <c r="G766" s="206"/>
    </row>
    <row r="767" spans="3:7" x14ac:dyDescent="0.35">
      <c r="C767" s="193"/>
      <c r="D767" s="193"/>
      <c r="E767" s="196"/>
      <c r="F767" s="206"/>
      <c r="G767" s="206"/>
    </row>
    <row r="768" spans="3:7" x14ac:dyDescent="0.35">
      <c r="C768" s="193"/>
      <c r="D768" s="193"/>
      <c r="E768" s="196"/>
      <c r="F768" s="206"/>
      <c r="G768" s="206"/>
    </row>
    <row r="769" spans="3:7" x14ac:dyDescent="0.35">
      <c r="C769" s="193"/>
      <c r="D769" s="193"/>
      <c r="E769" s="196"/>
      <c r="F769" s="206"/>
      <c r="G769" s="206"/>
    </row>
    <row r="770" spans="3:7" x14ac:dyDescent="0.35">
      <c r="C770" s="193"/>
      <c r="D770" s="193"/>
      <c r="E770" s="196"/>
      <c r="F770" s="206"/>
      <c r="G770" s="206"/>
    </row>
    <row r="771" spans="3:7" x14ac:dyDescent="0.35">
      <c r="C771" s="193"/>
      <c r="D771" s="193"/>
      <c r="E771" s="196"/>
      <c r="F771" s="206"/>
      <c r="G771" s="206"/>
    </row>
    <row r="772" spans="3:7" x14ac:dyDescent="0.35">
      <c r="C772" s="193"/>
      <c r="D772" s="193"/>
      <c r="E772" s="196"/>
      <c r="F772" s="206"/>
      <c r="G772" s="206"/>
    </row>
    <row r="773" spans="3:7" x14ac:dyDescent="0.35">
      <c r="C773" s="193"/>
      <c r="D773" s="193"/>
      <c r="E773" s="196"/>
      <c r="F773" s="206"/>
      <c r="G773" s="206"/>
    </row>
    <row r="774" spans="3:7" x14ac:dyDescent="0.35">
      <c r="C774" s="193"/>
      <c r="D774" s="193"/>
      <c r="E774" s="196"/>
      <c r="F774" s="206"/>
      <c r="G774" s="206"/>
    </row>
    <row r="775" spans="3:7" x14ac:dyDescent="0.35">
      <c r="C775" s="193"/>
      <c r="D775" s="193"/>
      <c r="E775" s="196"/>
      <c r="F775" s="206"/>
      <c r="G775" s="206"/>
    </row>
    <row r="776" spans="3:7" x14ac:dyDescent="0.35">
      <c r="C776" s="193"/>
      <c r="D776" s="193"/>
      <c r="E776" s="196"/>
      <c r="F776" s="206"/>
      <c r="G776" s="206"/>
    </row>
    <row r="777" spans="3:7" x14ac:dyDescent="0.35">
      <c r="C777" s="193"/>
      <c r="D777" s="193"/>
      <c r="E777" s="196"/>
      <c r="F777" s="206"/>
      <c r="G777" s="206"/>
    </row>
    <row r="778" spans="3:7" x14ac:dyDescent="0.35">
      <c r="C778" s="193"/>
      <c r="D778" s="193"/>
      <c r="E778" s="196"/>
      <c r="F778" s="206"/>
      <c r="G778" s="206"/>
    </row>
    <row r="779" spans="3:7" x14ac:dyDescent="0.35">
      <c r="C779" s="193"/>
      <c r="D779" s="193"/>
      <c r="E779" s="196"/>
      <c r="F779" s="206"/>
      <c r="G779" s="206"/>
    </row>
    <row r="780" spans="3:7" x14ac:dyDescent="0.35">
      <c r="C780" s="193"/>
      <c r="D780" s="193"/>
      <c r="E780" s="196"/>
      <c r="F780" s="206"/>
      <c r="G780" s="206"/>
    </row>
    <row r="781" spans="3:7" x14ac:dyDescent="0.35">
      <c r="C781" s="193"/>
      <c r="D781" s="193"/>
      <c r="E781" s="196"/>
      <c r="F781" s="206"/>
      <c r="G781" s="206"/>
    </row>
    <row r="782" spans="3:7" x14ac:dyDescent="0.35">
      <c r="C782" s="193"/>
      <c r="D782" s="193"/>
      <c r="E782" s="196"/>
      <c r="F782" s="206"/>
      <c r="G782" s="206"/>
    </row>
    <row r="783" spans="3:7" x14ac:dyDescent="0.35">
      <c r="C783" s="193"/>
      <c r="D783" s="193"/>
      <c r="E783" s="196"/>
      <c r="F783" s="206"/>
      <c r="G783" s="206"/>
    </row>
    <row r="784" spans="3:7" x14ac:dyDescent="0.35">
      <c r="C784" s="193"/>
      <c r="D784" s="193"/>
      <c r="E784" s="196"/>
      <c r="F784" s="206"/>
      <c r="G784" s="206"/>
    </row>
    <row r="785" spans="3:7" x14ac:dyDescent="0.35">
      <c r="C785" s="193"/>
      <c r="D785" s="193"/>
      <c r="E785" s="196"/>
      <c r="F785" s="206"/>
      <c r="G785" s="206"/>
    </row>
    <row r="786" spans="3:7" x14ac:dyDescent="0.35">
      <c r="C786" s="193"/>
      <c r="D786" s="193"/>
      <c r="E786" s="196"/>
      <c r="F786" s="206"/>
      <c r="G786" s="206"/>
    </row>
    <row r="787" spans="3:7" x14ac:dyDescent="0.35">
      <c r="C787" s="193"/>
      <c r="D787" s="193"/>
      <c r="E787" s="196"/>
      <c r="F787" s="206"/>
      <c r="G787" s="206"/>
    </row>
    <row r="788" spans="3:7" x14ac:dyDescent="0.35">
      <c r="C788" s="193"/>
      <c r="D788" s="193"/>
      <c r="E788" s="196"/>
      <c r="F788" s="206"/>
      <c r="G788" s="206"/>
    </row>
    <row r="789" spans="3:7" x14ac:dyDescent="0.35">
      <c r="C789" s="193"/>
      <c r="D789" s="193"/>
      <c r="E789" s="196"/>
      <c r="F789" s="206"/>
      <c r="G789" s="206"/>
    </row>
    <row r="790" spans="3:7" x14ac:dyDescent="0.35">
      <c r="C790" s="193"/>
      <c r="D790" s="193"/>
      <c r="E790" s="196"/>
      <c r="F790" s="206"/>
      <c r="G790" s="206"/>
    </row>
    <row r="791" spans="3:7" x14ac:dyDescent="0.35">
      <c r="C791" s="193"/>
      <c r="D791" s="193"/>
      <c r="E791" s="196"/>
      <c r="F791" s="206"/>
      <c r="G791" s="206"/>
    </row>
    <row r="792" spans="3:7" x14ac:dyDescent="0.35">
      <c r="C792" s="193"/>
      <c r="D792" s="193"/>
      <c r="E792" s="196"/>
      <c r="F792" s="206"/>
      <c r="G792" s="206"/>
    </row>
    <row r="793" spans="3:7" x14ac:dyDescent="0.35">
      <c r="C793" s="193"/>
      <c r="D793" s="193"/>
      <c r="E793" s="196"/>
      <c r="F793" s="206"/>
      <c r="G793" s="206"/>
    </row>
    <row r="794" spans="3:7" x14ac:dyDescent="0.35">
      <c r="C794" s="193"/>
      <c r="D794" s="193"/>
      <c r="E794" s="196"/>
      <c r="F794" s="206"/>
      <c r="G794" s="206"/>
    </row>
    <row r="795" spans="3:7" x14ac:dyDescent="0.35">
      <c r="C795" s="193"/>
      <c r="D795" s="193"/>
      <c r="E795" s="196"/>
      <c r="F795" s="206"/>
      <c r="G795" s="206"/>
    </row>
    <row r="796" spans="3:7" x14ac:dyDescent="0.35">
      <c r="C796" s="193"/>
      <c r="D796" s="193"/>
      <c r="E796" s="196"/>
      <c r="F796" s="206"/>
      <c r="G796" s="206"/>
    </row>
    <row r="797" spans="3:7" x14ac:dyDescent="0.35">
      <c r="C797" s="193"/>
      <c r="D797" s="193"/>
      <c r="E797" s="196"/>
      <c r="F797" s="206"/>
      <c r="G797" s="206"/>
    </row>
    <row r="798" spans="3:7" x14ac:dyDescent="0.35">
      <c r="C798" s="193"/>
      <c r="D798" s="193"/>
      <c r="E798" s="196"/>
      <c r="F798" s="206"/>
      <c r="G798" s="206"/>
    </row>
    <row r="799" spans="3:7" x14ac:dyDescent="0.35">
      <c r="C799" s="193"/>
      <c r="D799" s="193"/>
      <c r="E799" s="196"/>
      <c r="F799" s="206"/>
      <c r="G799" s="206"/>
    </row>
    <row r="800" spans="3:7" x14ac:dyDescent="0.35">
      <c r="C800" s="193"/>
      <c r="D800" s="193"/>
      <c r="E800" s="196"/>
      <c r="F800" s="206"/>
      <c r="G800" s="206"/>
    </row>
    <row r="801" spans="3:7" x14ac:dyDescent="0.35">
      <c r="C801" s="193"/>
      <c r="D801" s="193"/>
      <c r="E801" s="196"/>
      <c r="F801" s="206"/>
      <c r="G801" s="206"/>
    </row>
    <row r="802" spans="3:7" x14ac:dyDescent="0.35">
      <c r="C802" s="193"/>
      <c r="D802" s="193"/>
      <c r="E802" s="196"/>
      <c r="F802" s="206"/>
      <c r="G802" s="206"/>
    </row>
    <row r="803" spans="3:7" x14ac:dyDescent="0.35">
      <c r="C803" s="193"/>
      <c r="D803" s="193"/>
      <c r="E803" s="196"/>
      <c r="F803" s="206"/>
      <c r="G803" s="206"/>
    </row>
    <row r="804" spans="3:7" x14ac:dyDescent="0.35">
      <c r="C804" s="193"/>
      <c r="D804" s="193"/>
      <c r="E804" s="196"/>
      <c r="F804" s="206"/>
      <c r="G804" s="206"/>
    </row>
    <row r="805" spans="3:7" x14ac:dyDescent="0.35">
      <c r="C805" s="193"/>
      <c r="D805" s="193"/>
      <c r="E805" s="196"/>
      <c r="F805" s="206"/>
      <c r="G805" s="206"/>
    </row>
    <row r="806" spans="3:7" x14ac:dyDescent="0.35">
      <c r="C806" s="193"/>
      <c r="D806" s="193"/>
      <c r="E806" s="196"/>
      <c r="F806" s="206"/>
      <c r="G806" s="206"/>
    </row>
    <row r="807" spans="3:7" x14ac:dyDescent="0.35">
      <c r="C807" s="193"/>
      <c r="D807" s="193"/>
      <c r="E807" s="196"/>
      <c r="F807" s="206"/>
      <c r="G807" s="206"/>
    </row>
    <row r="808" spans="3:7" x14ac:dyDescent="0.35">
      <c r="C808" s="193"/>
      <c r="D808" s="193"/>
      <c r="E808" s="196"/>
      <c r="F808" s="206"/>
      <c r="G808" s="206"/>
    </row>
    <row r="809" spans="3:7" x14ac:dyDescent="0.35">
      <c r="C809" s="193"/>
      <c r="D809" s="193"/>
      <c r="E809" s="196"/>
      <c r="F809" s="206"/>
      <c r="G809" s="206"/>
    </row>
    <row r="810" spans="3:7" x14ac:dyDescent="0.35">
      <c r="C810" s="193"/>
      <c r="D810" s="193"/>
      <c r="E810" s="196"/>
      <c r="F810" s="206"/>
      <c r="G810" s="206"/>
    </row>
    <row r="811" spans="3:7" x14ac:dyDescent="0.35">
      <c r="C811" s="193"/>
      <c r="D811" s="193"/>
      <c r="E811" s="196"/>
      <c r="F811" s="206"/>
      <c r="G811" s="206"/>
    </row>
    <row r="812" spans="3:7" x14ac:dyDescent="0.35">
      <c r="C812" s="193"/>
      <c r="D812" s="193"/>
      <c r="E812" s="196"/>
      <c r="F812" s="206"/>
      <c r="G812" s="206"/>
    </row>
    <row r="813" spans="3:7" x14ac:dyDescent="0.35">
      <c r="C813" s="193"/>
      <c r="D813" s="193"/>
      <c r="E813" s="196"/>
      <c r="F813" s="206"/>
      <c r="G813" s="206"/>
    </row>
    <row r="814" spans="3:7" x14ac:dyDescent="0.35">
      <c r="C814" s="193"/>
      <c r="D814" s="193"/>
      <c r="E814" s="196"/>
      <c r="F814" s="206"/>
      <c r="G814" s="206"/>
    </row>
    <row r="815" spans="3:7" x14ac:dyDescent="0.35">
      <c r="C815" s="193"/>
      <c r="D815" s="193"/>
      <c r="E815" s="196"/>
      <c r="F815" s="206"/>
      <c r="G815" s="206"/>
    </row>
    <row r="816" spans="3:7" x14ac:dyDescent="0.35">
      <c r="C816" s="193"/>
      <c r="D816" s="193"/>
      <c r="E816" s="196"/>
      <c r="F816" s="206"/>
      <c r="G816" s="206"/>
    </row>
    <row r="817" spans="3:7" x14ac:dyDescent="0.35">
      <c r="C817" s="193"/>
      <c r="D817" s="193"/>
      <c r="E817" s="196"/>
      <c r="F817" s="206"/>
      <c r="G817" s="206"/>
    </row>
    <row r="818" spans="3:7" x14ac:dyDescent="0.35">
      <c r="C818" s="193"/>
      <c r="D818" s="193"/>
      <c r="E818" s="196"/>
      <c r="F818" s="206"/>
      <c r="G818" s="206"/>
    </row>
    <row r="819" spans="3:7" x14ac:dyDescent="0.35">
      <c r="C819" s="193"/>
      <c r="D819" s="193"/>
      <c r="E819" s="196"/>
      <c r="F819" s="206"/>
      <c r="G819" s="206"/>
    </row>
    <row r="820" spans="3:7" x14ac:dyDescent="0.35">
      <c r="C820" s="193"/>
      <c r="D820" s="193"/>
      <c r="E820" s="196"/>
      <c r="F820" s="206"/>
      <c r="G820" s="206"/>
    </row>
    <row r="821" spans="3:7" x14ac:dyDescent="0.35">
      <c r="C821" s="193"/>
      <c r="D821" s="193"/>
      <c r="E821" s="196"/>
      <c r="F821" s="206"/>
      <c r="G821" s="206"/>
    </row>
    <row r="822" spans="3:7" x14ac:dyDescent="0.35">
      <c r="C822" s="193"/>
      <c r="D822" s="193"/>
      <c r="E822" s="196"/>
      <c r="F822" s="206"/>
      <c r="G822" s="206"/>
    </row>
    <row r="823" spans="3:7" x14ac:dyDescent="0.35">
      <c r="C823" s="193"/>
      <c r="D823" s="193"/>
      <c r="E823" s="196"/>
      <c r="F823" s="206"/>
      <c r="G823" s="206"/>
    </row>
    <row r="824" spans="3:7" x14ac:dyDescent="0.35">
      <c r="C824" s="193"/>
      <c r="D824" s="193"/>
      <c r="E824" s="196"/>
      <c r="F824" s="206"/>
      <c r="G824" s="206"/>
    </row>
    <row r="825" spans="3:7" x14ac:dyDescent="0.35">
      <c r="C825" s="193"/>
      <c r="D825" s="193"/>
      <c r="E825" s="196"/>
      <c r="F825" s="206"/>
      <c r="G825" s="206"/>
    </row>
    <row r="826" spans="3:7" x14ac:dyDescent="0.35">
      <c r="C826" s="193"/>
      <c r="D826" s="193"/>
      <c r="E826" s="196"/>
      <c r="F826" s="206"/>
      <c r="G826" s="206"/>
    </row>
    <row r="827" spans="3:7" x14ac:dyDescent="0.35">
      <c r="C827" s="193"/>
      <c r="D827" s="193"/>
      <c r="E827" s="196"/>
      <c r="F827" s="206"/>
      <c r="G827" s="206"/>
    </row>
    <row r="828" spans="3:7" x14ac:dyDescent="0.35">
      <c r="C828" s="193"/>
      <c r="D828" s="193"/>
      <c r="E828" s="196"/>
      <c r="F828" s="206"/>
      <c r="G828" s="206"/>
    </row>
    <row r="829" spans="3:7" x14ac:dyDescent="0.35">
      <c r="C829" s="193"/>
      <c r="D829" s="193"/>
      <c r="E829" s="196"/>
      <c r="F829" s="206"/>
      <c r="G829" s="206"/>
    </row>
    <row r="830" spans="3:7" x14ac:dyDescent="0.35">
      <c r="C830" s="193"/>
      <c r="D830" s="193"/>
      <c r="E830" s="196"/>
      <c r="F830" s="206"/>
      <c r="G830" s="206"/>
    </row>
    <row r="831" spans="3:7" x14ac:dyDescent="0.35">
      <c r="C831" s="193"/>
      <c r="D831" s="193"/>
      <c r="E831" s="196"/>
      <c r="F831" s="206"/>
      <c r="G831" s="206"/>
    </row>
    <row r="832" spans="3:7" x14ac:dyDescent="0.35">
      <c r="C832" s="193"/>
      <c r="D832" s="193"/>
      <c r="E832" s="196"/>
      <c r="F832" s="206"/>
      <c r="G832" s="206"/>
    </row>
    <row r="833" spans="3:7" x14ac:dyDescent="0.35">
      <c r="C833" s="193"/>
      <c r="D833" s="193"/>
      <c r="E833" s="196"/>
      <c r="F833" s="206"/>
      <c r="G833" s="206"/>
    </row>
    <row r="834" spans="3:7" x14ac:dyDescent="0.35">
      <c r="C834" s="193"/>
      <c r="D834" s="193"/>
      <c r="E834" s="196"/>
      <c r="F834" s="206"/>
      <c r="G834" s="206"/>
    </row>
    <row r="835" spans="3:7" x14ac:dyDescent="0.35">
      <c r="C835" s="193"/>
      <c r="D835" s="193"/>
      <c r="E835" s="196"/>
      <c r="F835" s="206"/>
      <c r="G835" s="206"/>
    </row>
    <row r="836" spans="3:7" x14ac:dyDescent="0.35">
      <c r="C836" s="193"/>
      <c r="D836" s="193"/>
      <c r="E836" s="196"/>
      <c r="F836" s="206"/>
      <c r="G836" s="206"/>
    </row>
    <row r="837" spans="3:7" x14ac:dyDescent="0.35">
      <c r="C837" s="193"/>
      <c r="D837" s="193"/>
      <c r="E837" s="196"/>
      <c r="F837" s="206"/>
      <c r="G837" s="206"/>
    </row>
    <row r="838" spans="3:7" x14ac:dyDescent="0.35">
      <c r="C838" s="193"/>
      <c r="D838" s="193"/>
      <c r="E838" s="196"/>
      <c r="F838" s="206"/>
      <c r="G838" s="206"/>
    </row>
    <row r="839" spans="3:7" x14ac:dyDescent="0.35">
      <c r="C839" s="193"/>
      <c r="D839" s="193"/>
      <c r="E839" s="196"/>
      <c r="F839" s="206"/>
      <c r="G839" s="206"/>
    </row>
    <row r="840" spans="3:7" x14ac:dyDescent="0.35">
      <c r="C840" s="193"/>
      <c r="D840" s="193"/>
      <c r="E840" s="196"/>
      <c r="F840" s="206"/>
      <c r="G840" s="206"/>
    </row>
    <row r="841" spans="3:7" x14ac:dyDescent="0.35">
      <c r="C841" s="193"/>
      <c r="D841" s="193"/>
      <c r="E841" s="196"/>
      <c r="F841" s="206"/>
      <c r="G841" s="206"/>
    </row>
    <row r="842" spans="3:7" x14ac:dyDescent="0.35">
      <c r="C842" s="193"/>
      <c r="D842" s="193"/>
      <c r="E842" s="196"/>
      <c r="F842" s="206"/>
      <c r="G842" s="206"/>
    </row>
    <row r="843" spans="3:7" x14ac:dyDescent="0.35">
      <c r="C843" s="193"/>
      <c r="D843" s="193"/>
      <c r="E843" s="196"/>
      <c r="F843" s="206"/>
      <c r="G843" s="206"/>
    </row>
    <row r="844" spans="3:7" x14ac:dyDescent="0.35">
      <c r="C844" s="193"/>
      <c r="D844" s="193"/>
      <c r="E844" s="196"/>
      <c r="F844" s="206"/>
      <c r="G844" s="206"/>
    </row>
    <row r="845" spans="3:7" x14ac:dyDescent="0.35">
      <c r="C845" s="193"/>
      <c r="D845" s="193"/>
      <c r="E845" s="196"/>
      <c r="F845" s="206"/>
      <c r="G845" s="206"/>
    </row>
    <row r="846" spans="3:7" x14ac:dyDescent="0.35">
      <c r="C846" s="193"/>
      <c r="D846" s="193"/>
      <c r="E846" s="196"/>
      <c r="F846" s="206"/>
      <c r="G846" s="206"/>
    </row>
    <row r="847" spans="3:7" x14ac:dyDescent="0.35">
      <c r="C847" s="193"/>
      <c r="D847" s="193"/>
      <c r="E847" s="196"/>
      <c r="F847" s="206"/>
      <c r="G847" s="206"/>
    </row>
    <row r="848" spans="3:7" x14ac:dyDescent="0.35">
      <c r="C848" s="193"/>
      <c r="D848" s="193"/>
      <c r="E848" s="196"/>
      <c r="F848" s="206"/>
      <c r="G848" s="206"/>
    </row>
    <row r="849" spans="3:7" x14ac:dyDescent="0.35">
      <c r="C849" s="193"/>
      <c r="D849" s="193"/>
      <c r="E849" s="196"/>
      <c r="F849" s="206"/>
      <c r="G849" s="206"/>
    </row>
    <row r="850" spans="3:7" x14ac:dyDescent="0.35">
      <c r="C850" s="193"/>
      <c r="D850" s="193"/>
      <c r="E850" s="196"/>
      <c r="F850" s="206"/>
      <c r="G850" s="206"/>
    </row>
    <row r="851" spans="3:7" x14ac:dyDescent="0.35">
      <c r="C851" s="193"/>
      <c r="D851" s="193"/>
      <c r="E851" s="196"/>
      <c r="F851" s="206"/>
      <c r="G851" s="206"/>
    </row>
    <row r="852" spans="3:7" x14ac:dyDescent="0.35">
      <c r="C852" s="193"/>
      <c r="D852" s="193"/>
      <c r="E852" s="196"/>
      <c r="F852" s="206"/>
      <c r="G852" s="206"/>
    </row>
    <row r="853" spans="3:7" x14ac:dyDescent="0.35">
      <c r="C853" s="193"/>
      <c r="D853" s="193"/>
      <c r="E853" s="196"/>
      <c r="F853" s="206"/>
      <c r="G853" s="206"/>
    </row>
    <row r="854" spans="3:7" x14ac:dyDescent="0.35">
      <c r="C854" s="193"/>
      <c r="D854" s="193"/>
      <c r="E854" s="196"/>
      <c r="F854" s="206"/>
      <c r="G854" s="206"/>
    </row>
    <row r="855" spans="3:7" x14ac:dyDescent="0.35">
      <c r="C855" s="193"/>
      <c r="D855" s="193"/>
      <c r="E855" s="196"/>
      <c r="F855" s="206"/>
      <c r="G855" s="206"/>
    </row>
    <row r="856" spans="3:7" x14ac:dyDescent="0.35">
      <c r="C856" s="193"/>
      <c r="D856" s="193"/>
      <c r="E856" s="196"/>
      <c r="F856" s="206"/>
      <c r="G856" s="206"/>
    </row>
    <row r="857" spans="3:7" x14ac:dyDescent="0.35">
      <c r="C857" s="193"/>
      <c r="D857" s="193"/>
      <c r="E857" s="196"/>
      <c r="F857" s="206"/>
      <c r="G857" s="206"/>
    </row>
    <row r="858" spans="3:7" x14ac:dyDescent="0.35">
      <c r="C858" s="193"/>
      <c r="D858" s="193"/>
      <c r="E858" s="196"/>
      <c r="F858" s="206"/>
      <c r="G858" s="206"/>
    </row>
    <row r="859" spans="3:7" x14ac:dyDescent="0.35">
      <c r="C859" s="193"/>
      <c r="D859" s="193"/>
      <c r="E859" s="196"/>
      <c r="F859" s="206"/>
      <c r="G859" s="206"/>
    </row>
    <row r="860" spans="3:7" x14ac:dyDescent="0.35">
      <c r="C860" s="193"/>
      <c r="D860" s="193"/>
      <c r="E860" s="196"/>
      <c r="F860" s="206"/>
      <c r="G860" s="206"/>
    </row>
    <row r="861" spans="3:7" x14ac:dyDescent="0.35">
      <c r="C861" s="193"/>
      <c r="D861" s="193"/>
      <c r="E861" s="196"/>
      <c r="F861" s="206"/>
      <c r="G861" s="206"/>
    </row>
    <row r="862" spans="3:7" x14ac:dyDescent="0.35">
      <c r="C862" s="193"/>
      <c r="D862" s="193"/>
      <c r="E862" s="196"/>
      <c r="F862" s="206"/>
      <c r="G862" s="206"/>
    </row>
    <row r="863" spans="3:7" x14ac:dyDescent="0.35">
      <c r="C863" s="193"/>
      <c r="D863" s="193"/>
      <c r="E863" s="196"/>
      <c r="F863" s="206"/>
      <c r="G863" s="206"/>
    </row>
    <row r="864" spans="3:7" x14ac:dyDescent="0.35">
      <c r="C864" s="193"/>
      <c r="D864" s="193"/>
      <c r="E864" s="196"/>
      <c r="F864" s="206"/>
      <c r="G864" s="206"/>
    </row>
    <row r="865" spans="3:7" x14ac:dyDescent="0.35">
      <c r="C865" s="193"/>
      <c r="D865" s="193"/>
      <c r="E865" s="196"/>
      <c r="F865" s="206"/>
      <c r="G865" s="206"/>
    </row>
    <row r="866" spans="3:7" x14ac:dyDescent="0.35">
      <c r="C866" s="193"/>
      <c r="D866" s="193"/>
      <c r="E866" s="196"/>
      <c r="F866" s="206"/>
      <c r="G866" s="206"/>
    </row>
    <row r="867" spans="3:7" x14ac:dyDescent="0.35">
      <c r="C867" s="193"/>
      <c r="D867" s="193"/>
      <c r="E867" s="196"/>
      <c r="F867" s="206"/>
      <c r="G867" s="206"/>
    </row>
    <row r="868" spans="3:7" x14ac:dyDescent="0.35">
      <c r="C868" s="193"/>
      <c r="D868" s="193"/>
      <c r="E868" s="196"/>
      <c r="F868" s="206"/>
      <c r="G868" s="206"/>
    </row>
    <row r="869" spans="3:7" x14ac:dyDescent="0.35">
      <c r="C869" s="193"/>
      <c r="D869" s="193"/>
      <c r="E869" s="196"/>
      <c r="F869" s="206"/>
      <c r="G869" s="206"/>
    </row>
    <row r="870" spans="3:7" x14ac:dyDescent="0.35">
      <c r="C870" s="193"/>
      <c r="D870" s="193"/>
      <c r="E870" s="196"/>
      <c r="F870" s="206"/>
      <c r="G870" s="206"/>
    </row>
    <row r="871" spans="3:7" x14ac:dyDescent="0.35">
      <c r="C871" s="193"/>
      <c r="D871" s="193"/>
      <c r="E871" s="196"/>
      <c r="F871" s="206"/>
      <c r="G871" s="206"/>
    </row>
    <row r="872" spans="3:7" x14ac:dyDescent="0.35">
      <c r="C872" s="193"/>
      <c r="D872" s="193"/>
      <c r="E872" s="196"/>
      <c r="F872" s="206"/>
      <c r="G872" s="206"/>
    </row>
    <row r="873" spans="3:7" x14ac:dyDescent="0.35">
      <c r="C873" s="193"/>
      <c r="D873" s="193"/>
      <c r="E873" s="196"/>
      <c r="F873" s="206"/>
      <c r="G873" s="206"/>
    </row>
    <row r="874" spans="3:7" x14ac:dyDescent="0.35">
      <c r="C874" s="193"/>
      <c r="D874" s="193"/>
      <c r="E874" s="196"/>
      <c r="F874" s="206"/>
      <c r="G874" s="206"/>
    </row>
    <row r="875" spans="3:7" x14ac:dyDescent="0.35">
      <c r="C875" s="193"/>
      <c r="D875" s="193"/>
      <c r="E875" s="196"/>
      <c r="F875" s="206"/>
      <c r="G875" s="206"/>
    </row>
    <row r="876" spans="3:7" x14ac:dyDescent="0.35">
      <c r="C876" s="193"/>
      <c r="D876" s="193"/>
      <c r="E876" s="196"/>
      <c r="F876" s="206"/>
      <c r="G876" s="206"/>
    </row>
    <row r="877" spans="3:7" x14ac:dyDescent="0.35">
      <c r="C877" s="193"/>
      <c r="D877" s="193"/>
      <c r="E877" s="196"/>
      <c r="F877" s="206"/>
      <c r="G877" s="206"/>
    </row>
    <row r="878" spans="3:7" x14ac:dyDescent="0.35">
      <c r="C878" s="193"/>
      <c r="D878" s="193"/>
      <c r="E878" s="196"/>
      <c r="F878" s="206"/>
      <c r="G878" s="206"/>
    </row>
    <row r="879" spans="3:7" x14ac:dyDescent="0.35">
      <c r="C879" s="193"/>
      <c r="D879" s="193"/>
      <c r="E879" s="196"/>
      <c r="F879" s="206"/>
      <c r="G879" s="206"/>
    </row>
    <row r="880" spans="3:7" x14ac:dyDescent="0.35">
      <c r="C880" s="193"/>
      <c r="D880" s="193"/>
      <c r="E880" s="196"/>
      <c r="F880" s="206"/>
      <c r="G880" s="206"/>
    </row>
    <row r="881" spans="3:7" x14ac:dyDescent="0.35">
      <c r="C881" s="193"/>
      <c r="D881" s="193"/>
      <c r="E881" s="196"/>
      <c r="F881" s="206"/>
      <c r="G881" s="206"/>
    </row>
    <row r="882" spans="3:7" x14ac:dyDescent="0.35">
      <c r="C882" s="193"/>
      <c r="D882" s="193"/>
      <c r="E882" s="196"/>
      <c r="F882" s="206"/>
      <c r="G882" s="206"/>
    </row>
    <row r="883" spans="3:7" x14ac:dyDescent="0.35">
      <c r="C883" s="193"/>
      <c r="D883" s="193"/>
      <c r="E883" s="196"/>
      <c r="F883" s="206"/>
      <c r="G883" s="206"/>
    </row>
    <row r="884" spans="3:7" x14ac:dyDescent="0.35">
      <c r="C884" s="193"/>
      <c r="D884" s="193"/>
      <c r="E884" s="196"/>
      <c r="F884" s="206"/>
      <c r="G884" s="206"/>
    </row>
    <row r="885" spans="3:7" x14ac:dyDescent="0.35">
      <c r="C885" s="193"/>
      <c r="D885" s="193"/>
      <c r="E885" s="196"/>
      <c r="F885" s="206"/>
      <c r="G885" s="206"/>
    </row>
    <row r="886" spans="3:7" x14ac:dyDescent="0.35">
      <c r="C886" s="193"/>
      <c r="D886" s="193"/>
      <c r="E886" s="196"/>
      <c r="F886" s="206"/>
      <c r="G886" s="206"/>
    </row>
    <row r="887" spans="3:7" x14ac:dyDescent="0.35">
      <c r="C887" s="193"/>
      <c r="D887" s="193"/>
      <c r="E887" s="196"/>
      <c r="F887" s="206"/>
      <c r="G887" s="206"/>
    </row>
    <row r="888" spans="3:7" x14ac:dyDescent="0.35">
      <c r="C888" s="193"/>
      <c r="D888" s="193"/>
      <c r="E888" s="196"/>
      <c r="F888" s="206"/>
      <c r="G888" s="206"/>
    </row>
    <row r="889" spans="3:7" x14ac:dyDescent="0.35">
      <c r="C889" s="193"/>
      <c r="D889" s="193"/>
      <c r="E889" s="196"/>
      <c r="F889" s="206"/>
      <c r="G889" s="206"/>
    </row>
    <row r="890" spans="3:7" x14ac:dyDescent="0.35">
      <c r="C890" s="193"/>
      <c r="D890" s="193"/>
      <c r="E890" s="196"/>
      <c r="F890" s="206"/>
      <c r="G890" s="206"/>
    </row>
    <row r="891" spans="3:7" x14ac:dyDescent="0.35">
      <c r="C891" s="193"/>
      <c r="D891" s="193"/>
      <c r="E891" s="196"/>
      <c r="F891" s="206"/>
      <c r="G891" s="206"/>
    </row>
    <row r="892" spans="3:7" x14ac:dyDescent="0.35">
      <c r="C892" s="192"/>
      <c r="D892" s="192"/>
      <c r="E892" s="197"/>
    </row>
    <row r="893" spans="3:7" x14ac:dyDescent="0.35">
      <c r="C893" s="192"/>
      <c r="D893" s="192"/>
      <c r="E893" s="197"/>
    </row>
    <row r="894" spans="3:7" x14ac:dyDescent="0.35">
      <c r="C894" s="192"/>
      <c r="D894" s="192"/>
      <c r="E894" s="197"/>
    </row>
    <row r="895" spans="3:7" x14ac:dyDescent="0.35">
      <c r="C895" s="192"/>
      <c r="D895" s="192"/>
      <c r="E895" s="197"/>
    </row>
    <row r="896" spans="3:7" x14ac:dyDescent="0.35">
      <c r="C896" s="192"/>
      <c r="D896" s="192"/>
      <c r="E896" s="197"/>
    </row>
    <row r="897" spans="3:5" x14ac:dyDescent="0.35">
      <c r="C897" s="192"/>
      <c r="D897" s="192"/>
      <c r="E897" s="197"/>
    </row>
    <row r="898" spans="3:5" x14ac:dyDescent="0.35">
      <c r="C898" s="192"/>
      <c r="D898" s="192"/>
      <c r="E898" s="197"/>
    </row>
    <row r="899" spans="3:5" x14ac:dyDescent="0.35">
      <c r="C899" s="192"/>
      <c r="D899" s="192"/>
      <c r="E899" s="197"/>
    </row>
    <row r="900" spans="3:5" x14ac:dyDescent="0.35">
      <c r="C900" s="192"/>
      <c r="D900" s="192"/>
      <c r="E900" s="197"/>
    </row>
    <row r="901" spans="3:5" x14ac:dyDescent="0.35">
      <c r="C901" s="192"/>
      <c r="D901" s="192"/>
      <c r="E901" s="197"/>
    </row>
    <row r="902" spans="3:5" x14ac:dyDescent="0.35">
      <c r="C902" s="192"/>
      <c r="D902" s="192"/>
      <c r="E902" s="197"/>
    </row>
    <row r="903" spans="3:5" x14ac:dyDescent="0.35">
      <c r="C903" s="192"/>
      <c r="D903" s="192"/>
      <c r="E903" s="197"/>
    </row>
    <row r="904" spans="3:5" x14ac:dyDescent="0.35">
      <c r="C904" s="192"/>
      <c r="D904" s="192"/>
      <c r="E904" s="197"/>
    </row>
    <row r="905" spans="3:5" x14ac:dyDescent="0.35">
      <c r="C905" s="192"/>
      <c r="D905" s="192"/>
      <c r="E905" s="197"/>
    </row>
    <row r="906" spans="3:5" x14ac:dyDescent="0.35">
      <c r="C906" s="192"/>
      <c r="D906" s="192"/>
      <c r="E906" s="197"/>
    </row>
    <row r="907" spans="3:5" x14ac:dyDescent="0.35">
      <c r="C907" s="192"/>
      <c r="D907" s="192"/>
      <c r="E907" s="197"/>
    </row>
    <row r="908" spans="3:5" x14ac:dyDescent="0.35">
      <c r="C908" s="192"/>
      <c r="D908" s="192"/>
      <c r="E908" s="197"/>
    </row>
    <row r="909" spans="3:5" x14ac:dyDescent="0.35">
      <c r="C909" s="192"/>
      <c r="D909" s="192"/>
      <c r="E909" s="197"/>
    </row>
    <row r="910" spans="3:5" x14ac:dyDescent="0.35">
      <c r="C910" s="192"/>
      <c r="D910" s="192"/>
      <c r="E910" s="197"/>
    </row>
    <row r="911" spans="3:5" x14ac:dyDescent="0.35">
      <c r="C911" s="192"/>
      <c r="D911" s="192"/>
      <c r="E911" s="197"/>
    </row>
    <row r="912" spans="3:5" x14ac:dyDescent="0.35">
      <c r="C912" s="192"/>
      <c r="D912" s="192"/>
      <c r="E912" s="197"/>
    </row>
    <row r="913" spans="3:5" x14ac:dyDescent="0.35">
      <c r="C913" s="192"/>
      <c r="D913" s="192"/>
      <c r="E913" s="197"/>
    </row>
    <row r="914" spans="3:5" x14ac:dyDescent="0.35">
      <c r="C914" s="192"/>
      <c r="D914" s="192"/>
      <c r="E914" s="197"/>
    </row>
    <row r="915" spans="3:5" x14ac:dyDescent="0.35">
      <c r="C915" s="192"/>
      <c r="D915" s="192"/>
      <c r="E915" s="197"/>
    </row>
    <row r="916" spans="3:5" x14ac:dyDescent="0.35">
      <c r="C916" s="192"/>
      <c r="D916" s="192"/>
      <c r="E916" s="197"/>
    </row>
    <row r="917" spans="3:5" x14ac:dyDescent="0.35">
      <c r="C917" s="192"/>
      <c r="D917" s="192"/>
      <c r="E917" s="197"/>
    </row>
    <row r="918" spans="3:5" x14ac:dyDescent="0.35">
      <c r="C918" s="192"/>
      <c r="D918" s="192"/>
      <c r="E918" s="197"/>
    </row>
    <row r="919" spans="3:5" x14ac:dyDescent="0.35">
      <c r="C919" s="192"/>
      <c r="D919" s="192"/>
      <c r="E919" s="197"/>
    </row>
    <row r="920" spans="3:5" x14ac:dyDescent="0.35">
      <c r="C920" s="192"/>
      <c r="D920" s="192"/>
      <c r="E920" s="197"/>
    </row>
    <row r="921" spans="3:5" x14ac:dyDescent="0.35">
      <c r="C921" s="192"/>
      <c r="D921" s="192"/>
      <c r="E921" s="197"/>
    </row>
    <row r="922" spans="3:5" x14ac:dyDescent="0.35">
      <c r="C922" s="192"/>
      <c r="D922" s="192"/>
      <c r="E922" s="197"/>
    </row>
    <row r="923" spans="3:5" x14ac:dyDescent="0.35">
      <c r="C923" s="192"/>
      <c r="D923" s="192"/>
      <c r="E923" s="197"/>
    </row>
    <row r="924" spans="3:5" x14ac:dyDescent="0.35">
      <c r="C924" s="192"/>
      <c r="D924" s="192"/>
      <c r="E924" s="197"/>
    </row>
  </sheetData>
  <sheetProtection selectLockedCells="1" pivotTables="0" selectUnlockedCells="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23C1F-4708-4CAD-A420-25459FBAB48A}">
  <sheetPr codeName="Sheet7"/>
  <dimension ref="A1:Y46"/>
  <sheetViews>
    <sheetView view="pageBreakPreview" zoomScaleNormal="100" zoomScaleSheetLayoutView="100" workbookViewId="0">
      <selection activeCell="H26" sqref="H26:K27"/>
    </sheetView>
  </sheetViews>
  <sheetFormatPr defaultColWidth="9.1796875" defaultRowHeight="15.5" x14ac:dyDescent="0.35"/>
  <cols>
    <col min="1" max="1" width="12.6328125" style="112" customWidth="1"/>
    <col min="2" max="2" width="9.1796875" style="112"/>
    <col min="3" max="3" width="18.7265625" style="112" customWidth="1"/>
    <col min="4" max="4" width="1.81640625" style="112" customWidth="1"/>
    <col min="5" max="5" width="8.26953125" style="112" customWidth="1"/>
    <col min="6" max="6" width="4.453125" style="112" customWidth="1"/>
    <col min="7" max="7" width="6.453125" style="112" customWidth="1"/>
    <col min="8" max="8" width="8.26953125" style="112" customWidth="1"/>
    <col min="9" max="9" width="6" style="112" customWidth="1"/>
    <col min="10" max="10" width="2.26953125" style="112" customWidth="1"/>
    <col min="11" max="11" width="3.26953125" style="112" customWidth="1"/>
    <col min="12" max="12" width="5.26953125" style="112" customWidth="1"/>
    <col min="13" max="14" width="7.54296875" style="112" customWidth="1"/>
    <col min="15" max="15" width="8.26953125" style="113" customWidth="1"/>
    <col min="16" max="16" width="1.7265625" style="112" customWidth="1"/>
    <col min="17" max="17" width="8" style="112" customWidth="1"/>
    <col min="18" max="18" width="1.7265625" style="112" customWidth="1"/>
    <col min="19" max="19" width="5.7265625" style="112" customWidth="1"/>
    <col min="20" max="20" width="3.7265625" style="112" customWidth="1"/>
    <col min="21" max="21" width="9.7265625" style="112" customWidth="1"/>
    <col min="22" max="22" width="11.1796875" style="112" customWidth="1"/>
    <col min="23" max="23" width="2.81640625" style="112" customWidth="1"/>
    <col min="24" max="247" width="9.1796875" style="112"/>
    <col min="248" max="248" width="11.54296875" style="112" customWidth="1"/>
    <col min="249" max="249" width="9.1796875" style="112"/>
    <col min="250" max="250" width="18.7265625" style="112" customWidth="1"/>
    <col min="251" max="251" width="1.81640625" style="112" customWidth="1"/>
    <col min="252" max="252" width="8.26953125" style="112" customWidth="1"/>
    <col min="253" max="253" width="4.453125" style="112" customWidth="1"/>
    <col min="254" max="254" width="6.453125" style="112" customWidth="1"/>
    <col min="255" max="255" width="8.26953125" style="112" customWidth="1"/>
    <col min="256" max="256" width="6" style="112" customWidth="1"/>
    <col min="257" max="257" width="2.26953125" style="112" customWidth="1"/>
    <col min="258" max="258" width="3.26953125" style="112" customWidth="1"/>
    <col min="259" max="259" width="5.26953125" style="112" customWidth="1"/>
    <col min="260" max="261" width="7.54296875" style="112" customWidth="1"/>
    <col min="262" max="262" width="8.26953125" style="112" customWidth="1"/>
    <col min="263" max="263" width="1.7265625" style="112" customWidth="1"/>
    <col min="264" max="264" width="8" style="112" customWidth="1"/>
    <col min="265" max="265" width="1.7265625" style="112" customWidth="1"/>
    <col min="266" max="266" width="5.7265625" style="112" customWidth="1"/>
    <col min="267" max="267" width="3.7265625" style="112" customWidth="1"/>
    <col min="268" max="268" width="9.7265625" style="112" customWidth="1"/>
    <col min="269" max="269" width="11.1796875" style="112" customWidth="1"/>
    <col min="270" max="270" width="8.26953125" style="112" customWidth="1"/>
    <col min="271" max="271" width="10.1796875" style="112" customWidth="1"/>
    <col min="272" max="503" width="9.1796875" style="112"/>
    <col min="504" max="504" width="11.54296875" style="112" customWidth="1"/>
    <col min="505" max="505" width="9.1796875" style="112"/>
    <col min="506" max="506" width="18.7265625" style="112" customWidth="1"/>
    <col min="507" max="507" width="1.81640625" style="112" customWidth="1"/>
    <col min="508" max="508" width="8.26953125" style="112" customWidth="1"/>
    <col min="509" max="509" width="4.453125" style="112" customWidth="1"/>
    <col min="510" max="510" width="6.453125" style="112" customWidth="1"/>
    <col min="511" max="511" width="8.26953125" style="112" customWidth="1"/>
    <col min="512" max="512" width="6" style="112" customWidth="1"/>
    <col min="513" max="513" width="2.26953125" style="112" customWidth="1"/>
    <col min="514" max="514" width="3.26953125" style="112" customWidth="1"/>
    <col min="515" max="515" width="5.26953125" style="112" customWidth="1"/>
    <col min="516" max="517" width="7.54296875" style="112" customWidth="1"/>
    <col min="518" max="518" width="8.26953125" style="112" customWidth="1"/>
    <col min="519" max="519" width="1.7265625" style="112" customWidth="1"/>
    <col min="520" max="520" width="8" style="112" customWidth="1"/>
    <col min="521" max="521" width="1.7265625" style="112" customWidth="1"/>
    <col min="522" max="522" width="5.7265625" style="112" customWidth="1"/>
    <col min="523" max="523" width="3.7265625" style="112" customWidth="1"/>
    <col min="524" max="524" width="9.7265625" style="112" customWidth="1"/>
    <col min="525" max="525" width="11.1796875" style="112" customWidth="1"/>
    <col min="526" max="526" width="8.26953125" style="112" customWidth="1"/>
    <col min="527" max="527" width="10.1796875" style="112" customWidth="1"/>
    <col min="528" max="759" width="9.1796875" style="112"/>
    <col min="760" max="760" width="11.54296875" style="112" customWidth="1"/>
    <col min="761" max="761" width="9.1796875" style="112"/>
    <col min="762" max="762" width="18.7265625" style="112" customWidth="1"/>
    <col min="763" max="763" width="1.81640625" style="112" customWidth="1"/>
    <col min="764" max="764" width="8.26953125" style="112" customWidth="1"/>
    <col min="765" max="765" width="4.453125" style="112" customWidth="1"/>
    <col min="766" max="766" width="6.453125" style="112" customWidth="1"/>
    <col min="767" max="767" width="8.26953125" style="112" customWidth="1"/>
    <col min="768" max="768" width="6" style="112" customWidth="1"/>
    <col min="769" max="769" width="2.26953125" style="112" customWidth="1"/>
    <col min="770" max="770" width="3.26953125" style="112" customWidth="1"/>
    <col min="771" max="771" width="5.26953125" style="112" customWidth="1"/>
    <col min="772" max="773" width="7.54296875" style="112" customWidth="1"/>
    <col min="774" max="774" width="8.26953125" style="112" customWidth="1"/>
    <col min="775" max="775" width="1.7265625" style="112" customWidth="1"/>
    <col min="776" max="776" width="8" style="112" customWidth="1"/>
    <col min="777" max="777" width="1.7265625" style="112" customWidth="1"/>
    <col min="778" max="778" width="5.7265625" style="112" customWidth="1"/>
    <col min="779" max="779" width="3.7265625" style="112" customWidth="1"/>
    <col min="780" max="780" width="9.7265625" style="112" customWidth="1"/>
    <col min="781" max="781" width="11.1796875" style="112" customWidth="1"/>
    <col min="782" max="782" width="8.26953125" style="112" customWidth="1"/>
    <col min="783" max="783" width="10.1796875" style="112" customWidth="1"/>
    <col min="784" max="1015" width="9.1796875" style="112"/>
    <col min="1016" max="1016" width="11.54296875" style="112" customWidth="1"/>
    <col min="1017" max="1017" width="9.1796875" style="112"/>
    <col min="1018" max="1018" width="18.7265625" style="112" customWidth="1"/>
    <col min="1019" max="1019" width="1.81640625" style="112" customWidth="1"/>
    <col min="1020" max="1020" width="8.26953125" style="112" customWidth="1"/>
    <col min="1021" max="1021" width="4.453125" style="112" customWidth="1"/>
    <col min="1022" max="1022" width="6.453125" style="112" customWidth="1"/>
    <col min="1023" max="1023" width="8.26953125" style="112" customWidth="1"/>
    <col min="1024" max="1024" width="6" style="112" customWidth="1"/>
    <col min="1025" max="1025" width="2.26953125" style="112" customWidth="1"/>
    <col min="1026" max="1026" width="3.26953125" style="112" customWidth="1"/>
    <col min="1027" max="1027" width="5.26953125" style="112" customWidth="1"/>
    <col min="1028" max="1029" width="7.54296875" style="112" customWidth="1"/>
    <col min="1030" max="1030" width="8.26953125" style="112" customWidth="1"/>
    <col min="1031" max="1031" width="1.7265625" style="112" customWidth="1"/>
    <col min="1032" max="1032" width="8" style="112" customWidth="1"/>
    <col min="1033" max="1033" width="1.7265625" style="112" customWidth="1"/>
    <col min="1034" max="1034" width="5.7265625" style="112" customWidth="1"/>
    <col min="1035" max="1035" width="3.7265625" style="112" customWidth="1"/>
    <col min="1036" max="1036" width="9.7265625" style="112" customWidth="1"/>
    <col min="1037" max="1037" width="11.1796875" style="112" customWidth="1"/>
    <col min="1038" max="1038" width="8.26953125" style="112" customWidth="1"/>
    <col min="1039" max="1039" width="10.1796875" style="112" customWidth="1"/>
    <col min="1040" max="1271" width="9.1796875" style="112"/>
    <col min="1272" max="1272" width="11.54296875" style="112" customWidth="1"/>
    <col min="1273" max="1273" width="9.1796875" style="112"/>
    <col min="1274" max="1274" width="18.7265625" style="112" customWidth="1"/>
    <col min="1275" max="1275" width="1.81640625" style="112" customWidth="1"/>
    <col min="1276" max="1276" width="8.26953125" style="112" customWidth="1"/>
    <col min="1277" max="1277" width="4.453125" style="112" customWidth="1"/>
    <col min="1278" max="1278" width="6.453125" style="112" customWidth="1"/>
    <col min="1279" max="1279" width="8.26953125" style="112" customWidth="1"/>
    <col min="1280" max="1280" width="6" style="112" customWidth="1"/>
    <col min="1281" max="1281" width="2.26953125" style="112" customWidth="1"/>
    <col min="1282" max="1282" width="3.26953125" style="112" customWidth="1"/>
    <col min="1283" max="1283" width="5.26953125" style="112" customWidth="1"/>
    <col min="1284" max="1285" width="7.54296875" style="112" customWidth="1"/>
    <col min="1286" max="1286" width="8.26953125" style="112" customWidth="1"/>
    <col min="1287" max="1287" width="1.7265625" style="112" customWidth="1"/>
    <col min="1288" max="1288" width="8" style="112" customWidth="1"/>
    <col min="1289" max="1289" width="1.7265625" style="112" customWidth="1"/>
    <col min="1290" max="1290" width="5.7265625" style="112" customWidth="1"/>
    <col min="1291" max="1291" width="3.7265625" style="112" customWidth="1"/>
    <col min="1292" max="1292" width="9.7265625" style="112" customWidth="1"/>
    <col min="1293" max="1293" width="11.1796875" style="112" customWidth="1"/>
    <col min="1294" max="1294" width="8.26953125" style="112" customWidth="1"/>
    <col min="1295" max="1295" width="10.1796875" style="112" customWidth="1"/>
    <col min="1296" max="1527" width="9.1796875" style="112"/>
    <col min="1528" max="1528" width="11.54296875" style="112" customWidth="1"/>
    <col min="1529" max="1529" width="9.1796875" style="112"/>
    <col min="1530" max="1530" width="18.7265625" style="112" customWidth="1"/>
    <col min="1531" max="1531" width="1.81640625" style="112" customWidth="1"/>
    <col min="1532" max="1532" width="8.26953125" style="112" customWidth="1"/>
    <col min="1533" max="1533" width="4.453125" style="112" customWidth="1"/>
    <col min="1534" max="1534" width="6.453125" style="112" customWidth="1"/>
    <col min="1535" max="1535" width="8.26953125" style="112" customWidth="1"/>
    <col min="1536" max="1536" width="6" style="112" customWidth="1"/>
    <col min="1537" max="1537" width="2.26953125" style="112" customWidth="1"/>
    <col min="1538" max="1538" width="3.26953125" style="112" customWidth="1"/>
    <col min="1539" max="1539" width="5.26953125" style="112" customWidth="1"/>
    <col min="1540" max="1541" width="7.54296875" style="112" customWidth="1"/>
    <col min="1542" max="1542" width="8.26953125" style="112" customWidth="1"/>
    <col min="1543" max="1543" width="1.7265625" style="112" customWidth="1"/>
    <col min="1544" max="1544" width="8" style="112" customWidth="1"/>
    <col min="1545" max="1545" width="1.7265625" style="112" customWidth="1"/>
    <col min="1546" max="1546" width="5.7265625" style="112" customWidth="1"/>
    <col min="1547" max="1547" width="3.7265625" style="112" customWidth="1"/>
    <col min="1548" max="1548" width="9.7265625" style="112" customWidth="1"/>
    <col min="1549" max="1549" width="11.1796875" style="112" customWidth="1"/>
    <col min="1550" max="1550" width="8.26953125" style="112" customWidth="1"/>
    <col min="1551" max="1551" width="10.1796875" style="112" customWidth="1"/>
    <col min="1552" max="1783" width="9.1796875" style="112"/>
    <col min="1784" max="1784" width="11.54296875" style="112" customWidth="1"/>
    <col min="1785" max="1785" width="9.1796875" style="112"/>
    <col min="1786" max="1786" width="18.7265625" style="112" customWidth="1"/>
    <col min="1787" max="1787" width="1.81640625" style="112" customWidth="1"/>
    <col min="1788" max="1788" width="8.26953125" style="112" customWidth="1"/>
    <col min="1789" max="1789" width="4.453125" style="112" customWidth="1"/>
    <col min="1790" max="1790" width="6.453125" style="112" customWidth="1"/>
    <col min="1791" max="1791" width="8.26953125" style="112" customWidth="1"/>
    <col min="1792" max="1792" width="6" style="112" customWidth="1"/>
    <col min="1793" max="1793" width="2.26953125" style="112" customWidth="1"/>
    <col min="1794" max="1794" width="3.26953125" style="112" customWidth="1"/>
    <col min="1795" max="1795" width="5.26953125" style="112" customWidth="1"/>
    <col min="1796" max="1797" width="7.54296875" style="112" customWidth="1"/>
    <col min="1798" max="1798" width="8.26953125" style="112" customWidth="1"/>
    <col min="1799" max="1799" width="1.7265625" style="112" customWidth="1"/>
    <col min="1800" max="1800" width="8" style="112" customWidth="1"/>
    <col min="1801" max="1801" width="1.7265625" style="112" customWidth="1"/>
    <col min="1802" max="1802" width="5.7265625" style="112" customWidth="1"/>
    <col min="1803" max="1803" width="3.7265625" style="112" customWidth="1"/>
    <col min="1804" max="1804" width="9.7265625" style="112" customWidth="1"/>
    <col min="1805" max="1805" width="11.1796875" style="112" customWidth="1"/>
    <col min="1806" max="1806" width="8.26953125" style="112" customWidth="1"/>
    <col min="1807" max="1807" width="10.1796875" style="112" customWidth="1"/>
    <col min="1808" max="2039" width="9.1796875" style="112"/>
    <col min="2040" max="2040" width="11.54296875" style="112" customWidth="1"/>
    <col min="2041" max="2041" width="9.1796875" style="112"/>
    <col min="2042" max="2042" width="18.7265625" style="112" customWidth="1"/>
    <col min="2043" max="2043" width="1.81640625" style="112" customWidth="1"/>
    <col min="2044" max="2044" width="8.26953125" style="112" customWidth="1"/>
    <col min="2045" max="2045" width="4.453125" style="112" customWidth="1"/>
    <col min="2046" max="2046" width="6.453125" style="112" customWidth="1"/>
    <col min="2047" max="2047" width="8.26953125" style="112" customWidth="1"/>
    <col min="2048" max="2048" width="6" style="112" customWidth="1"/>
    <col min="2049" max="2049" width="2.26953125" style="112" customWidth="1"/>
    <col min="2050" max="2050" width="3.26953125" style="112" customWidth="1"/>
    <col min="2051" max="2051" width="5.26953125" style="112" customWidth="1"/>
    <col min="2052" max="2053" width="7.54296875" style="112" customWidth="1"/>
    <col min="2054" max="2054" width="8.26953125" style="112" customWidth="1"/>
    <col min="2055" max="2055" width="1.7265625" style="112" customWidth="1"/>
    <col min="2056" max="2056" width="8" style="112" customWidth="1"/>
    <col min="2057" max="2057" width="1.7265625" style="112" customWidth="1"/>
    <col min="2058" max="2058" width="5.7265625" style="112" customWidth="1"/>
    <col min="2059" max="2059" width="3.7265625" style="112" customWidth="1"/>
    <col min="2060" max="2060" width="9.7265625" style="112" customWidth="1"/>
    <col min="2061" max="2061" width="11.1796875" style="112" customWidth="1"/>
    <col min="2062" max="2062" width="8.26953125" style="112" customWidth="1"/>
    <col min="2063" max="2063" width="10.1796875" style="112" customWidth="1"/>
    <col min="2064" max="2295" width="9.1796875" style="112"/>
    <col min="2296" max="2296" width="11.54296875" style="112" customWidth="1"/>
    <col min="2297" max="2297" width="9.1796875" style="112"/>
    <col min="2298" max="2298" width="18.7265625" style="112" customWidth="1"/>
    <col min="2299" max="2299" width="1.81640625" style="112" customWidth="1"/>
    <col min="2300" max="2300" width="8.26953125" style="112" customWidth="1"/>
    <col min="2301" max="2301" width="4.453125" style="112" customWidth="1"/>
    <col min="2302" max="2302" width="6.453125" style="112" customWidth="1"/>
    <col min="2303" max="2303" width="8.26953125" style="112" customWidth="1"/>
    <col min="2304" max="2304" width="6" style="112" customWidth="1"/>
    <col min="2305" max="2305" width="2.26953125" style="112" customWidth="1"/>
    <col min="2306" max="2306" width="3.26953125" style="112" customWidth="1"/>
    <col min="2307" max="2307" width="5.26953125" style="112" customWidth="1"/>
    <col min="2308" max="2309" width="7.54296875" style="112" customWidth="1"/>
    <col min="2310" max="2310" width="8.26953125" style="112" customWidth="1"/>
    <col min="2311" max="2311" width="1.7265625" style="112" customWidth="1"/>
    <col min="2312" max="2312" width="8" style="112" customWidth="1"/>
    <col min="2313" max="2313" width="1.7265625" style="112" customWidth="1"/>
    <col min="2314" max="2314" width="5.7265625" style="112" customWidth="1"/>
    <col min="2315" max="2315" width="3.7265625" style="112" customWidth="1"/>
    <col min="2316" max="2316" width="9.7265625" style="112" customWidth="1"/>
    <col min="2317" max="2317" width="11.1796875" style="112" customWidth="1"/>
    <col min="2318" max="2318" width="8.26953125" style="112" customWidth="1"/>
    <col min="2319" max="2319" width="10.1796875" style="112" customWidth="1"/>
    <col min="2320" max="2551" width="9.1796875" style="112"/>
    <col min="2552" max="2552" width="11.54296875" style="112" customWidth="1"/>
    <col min="2553" max="2553" width="9.1796875" style="112"/>
    <col min="2554" max="2554" width="18.7265625" style="112" customWidth="1"/>
    <col min="2555" max="2555" width="1.81640625" style="112" customWidth="1"/>
    <col min="2556" max="2556" width="8.26953125" style="112" customWidth="1"/>
    <col min="2557" max="2557" width="4.453125" style="112" customWidth="1"/>
    <col min="2558" max="2558" width="6.453125" style="112" customWidth="1"/>
    <col min="2559" max="2559" width="8.26953125" style="112" customWidth="1"/>
    <col min="2560" max="2560" width="6" style="112" customWidth="1"/>
    <col min="2561" max="2561" width="2.26953125" style="112" customWidth="1"/>
    <col min="2562" max="2562" width="3.26953125" style="112" customWidth="1"/>
    <col min="2563" max="2563" width="5.26953125" style="112" customWidth="1"/>
    <col min="2564" max="2565" width="7.54296875" style="112" customWidth="1"/>
    <col min="2566" max="2566" width="8.26953125" style="112" customWidth="1"/>
    <col min="2567" max="2567" width="1.7265625" style="112" customWidth="1"/>
    <col min="2568" max="2568" width="8" style="112" customWidth="1"/>
    <col min="2569" max="2569" width="1.7265625" style="112" customWidth="1"/>
    <col min="2570" max="2570" width="5.7265625" style="112" customWidth="1"/>
    <col min="2571" max="2571" width="3.7265625" style="112" customWidth="1"/>
    <col min="2572" max="2572" width="9.7265625" style="112" customWidth="1"/>
    <col min="2573" max="2573" width="11.1796875" style="112" customWidth="1"/>
    <col min="2574" max="2574" width="8.26953125" style="112" customWidth="1"/>
    <col min="2575" max="2575" width="10.1796875" style="112" customWidth="1"/>
    <col min="2576" max="2807" width="9.1796875" style="112"/>
    <col min="2808" max="2808" width="11.54296875" style="112" customWidth="1"/>
    <col min="2809" max="2809" width="9.1796875" style="112"/>
    <col min="2810" max="2810" width="18.7265625" style="112" customWidth="1"/>
    <col min="2811" max="2811" width="1.81640625" style="112" customWidth="1"/>
    <col min="2812" max="2812" width="8.26953125" style="112" customWidth="1"/>
    <col min="2813" max="2813" width="4.453125" style="112" customWidth="1"/>
    <col min="2814" max="2814" width="6.453125" style="112" customWidth="1"/>
    <col min="2815" max="2815" width="8.26953125" style="112" customWidth="1"/>
    <col min="2816" max="2816" width="6" style="112" customWidth="1"/>
    <col min="2817" max="2817" width="2.26953125" style="112" customWidth="1"/>
    <col min="2818" max="2818" width="3.26953125" style="112" customWidth="1"/>
    <col min="2819" max="2819" width="5.26953125" style="112" customWidth="1"/>
    <col min="2820" max="2821" width="7.54296875" style="112" customWidth="1"/>
    <col min="2822" max="2822" width="8.26953125" style="112" customWidth="1"/>
    <col min="2823" max="2823" width="1.7265625" style="112" customWidth="1"/>
    <col min="2824" max="2824" width="8" style="112" customWidth="1"/>
    <col min="2825" max="2825" width="1.7265625" style="112" customWidth="1"/>
    <col min="2826" max="2826" width="5.7265625" style="112" customWidth="1"/>
    <col min="2827" max="2827" width="3.7265625" style="112" customWidth="1"/>
    <col min="2828" max="2828" width="9.7265625" style="112" customWidth="1"/>
    <col min="2829" max="2829" width="11.1796875" style="112" customWidth="1"/>
    <col min="2830" max="2830" width="8.26953125" style="112" customWidth="1"/>
    <col min="2831" max="2831" width="10.1796875" style="112" customWidth="1"/>
    <col min="2832" max="3063" width="9.1796875" style="112"/>
    <col min="3064" max="3064" width="11.54296875" style="112" customWidth="1"/>
    <col min="3065" max="3065" width="9.1796875" style="112"/>
    <col min="3066" max="3066" width="18.7265625" style="112" customWidth="1"/>
    <col min="3067" max="3067" width="1.81640625" style="112" customWidth="1"/>
    <col min="3068" max="3068" width="8.26953125" style="112" customWidth="1"/>
    <col min="3069" max="3069" width="4.453125" style="112" customWidth="1"/>
    <col min="3070" max="3070" width="6.453125" style="112" customWidth="1"/>
    <col min="3071" max="3071" width="8.26953125" style="112" customWidth="1"/>
    <col min="3072" max="3072" width="6" style="112" customWidth="1"/>
    <col min="3073" max="3073" width="2.26953125" style="112" customWidth="1"/>
    <col min="3074" max="3074" width="3.26953125" style="112" customWidth="1"/>
    <col min="3075" max="3075" width="5.26953125" style="112" customWidth="1"/>
    <col min="3076" max="3077" width="7.54296875" style="112" customWidth="1"/>
    <col min="3078" max="3078" width="8.26953125" style="112" customWidth="1"/>
    <col min="3079" max="3079" width="1.7265625" style="112" customWidth="1"/>
    <col min="3080" max="3080" width="8" style="112" customWidth="1"/>
    <col min="3081" max="3081" width="1.7265625" style="112" customWidth="1"/>
    <col min="3082" max="3082" width="5.7265625" style="112" customWidth="1"/>
    <col min="3083" max="3083" width="3.7265625" style="112" customWidth="1"/>
    <col min="3084" max="3084" width="9.7265625" style="112" customWidth="1"/>
    <col min="3085" max="3085" width="11.1796875" style="112" customWidth="1"/>
    <col min="3086" max="3086" width="8.26953125" style="112" customWidth="1"/>
    <col min="3087" max="3087" width="10.1796875" style="112" customWidth="1"/>
    <col min="3088" max="3319" width="9.1796875" style="112"/>
    <col min="3320" max="3320" width="11.54296875" style="112" customWidth="1"/>
    <col min="3321" max="3321" width="9.1796875" style="112"/>
    <col min="3322" max="3322" width="18.7265625" style="112" customWidth="1"/>
    <col min="3323" max="3323" width="1.81640625" style="112" customWidth="1"/>
    <col min="3324" max="3324" width="8.26953125" style="112" customWidth="1"/>
    <col min="3325" max="3325" width="4.453125" style="112" customWidth="1"/>
    <col min="3326" max="3326" width="6.453125" style="112" customWidth="1"/>
    <col min="3327" max="3327" width="8.26953125" style="112" customWidth="1"/>
    <col min="3328" max="3328" width="6" style="112" customWidth="1"/>
    <col min="3329" max="3329" width="2.26953125" style="112" customWidth="1"/>
    <col min="3330" max="3330" width="3.26953125" style="112" customWidth="1"/>
    <col min="3331" max="3331" width="5.26953125" style="112" customWidth="1"/>
    <col min="3332" max="3333" width="7.54296875" style="112" customWidth="1"/>
    <col min="3334" max="3334" width="8.26953125" style="112" customWidth="1"/>
    <col min="3335" max="3335" width="1.7265625" style="112" customWidth="1"/>
    <col min="3336" max="3336" width="8" style="112" customWidth="1"/>
    <col min="3337" max="3337" width="1.7265625" style="112" customWidth="1"/>
    <col min="3338" max="3338" width="5.7265625" style="112" customWidth="1"/>
    <col min="3339" max="3339" width="3.7265625" style="112" customWidth="1"/>
    <col min="3340" max="3340" width="9.7265625" style="112" customWidth="1"/>
    <col min="3341" max="3341" width="11.1796875" style="112" customWidth="1"/>
    <col min="3342" max="3342" width="8.26953125" style="112" customWidth="1"/>
    <col min="3343" max="3343" width="10.1796875" style="112" customWidth="1"/>
    <col min="3344" max="3575" width="9.1796875" style="112"/>
    <col min="3576" max="3576" width="11.54296875" style="112" customWidth="1"/>
    <col min="3577" max="3577" width="9.1796875" style="112"/>
    <col min="3578" max="3578" width="18.7265625" style="112" customWidth="1"/>
    <col min="3579" max="3579" width="1.81640625" style="112" customWidth="1"/>
    <col min="3580" max="3580" width="8.26953125" style="112" customWidth="1"/>
    <col min="3581" max="3581" width="4.453125" style="112" customWidth="1"/>
    <col min="3582" max="3582" width="6.453125" style="112" customWidth="1"/>
    <col min="3583" max="3583" width="8.26953125" style="112" customWidth="1"/>
    <col min="3584" max="3584" width="6" style="112" customWidth="1"/>
    <col min="3585" max="3585" width="2.26953125" style="112" customWidth="1"/>
    <col min="3586" max="3586" width="3.26953125" style="112" customWidth="1"/>
    <col min="3587" max="3587" width="5.26953125" style="112" customWidth="1"/>
    <col min="3588" max="3589" width="7.54296875" style="112" customWidth="1"/>
    <col min="3590" max="3590" width="8.26953125" style="112" customWidth="1"/>
    <col min="3591" max="3591" width="1.7265625" style="112" customWidth="1"/>
    <col min="3592" max="3592" width="8" style="112" customWidth="1"/>
    <col min="3593" max="3593" width="1.7265625" style="112" customWidth="1"/>
    <col min="3594" max="3594" width="5.7265625" style="112" customWidth="1"/>
    <col min="3595" max="3595" width="3.7265625" style="112" customWidth="1"/>
    <col min="3596" max="3596" width="9.7265625" style="112" customWidth="1"/>
    <col min="3597" max="3597" width="11.1796875" style="112" customWidth="1"/>
    <col min="3598" max="3598" width="8.26953125" style="112" customWidth="1"/>
    <col min="3599" max="3599" width="10.1796875" style="112" customWidth="1"/>
    <col min="3600" max="3831" width="9.1796875" style="112"/>
    <col min="3832" max="3832" width="11.54296875" style="112" customWidth="1"/>
    <col min="3833" max="3833" width="9.1796875" style="112"/>
    <col min="3834" max="3834" width="18.7265625" style="112" customWidth="1"/>
    <col min="3835" max="3835" width="1.81640625" style="112" customWidth="1"/>
    <col min="3836" max="3836" width="8.26953125" style="112" customWidth="1"/>
    <col min="3837" max="3837" width="4.453125" style="112" customWidth="1"/>
    <col min="3838" max="3838" width="6.453125" style="112" customWidth="1"/>
    <col min="3839" max="3839" width="8.26953125" style="112" customWidth="1"/>
    <col min="3840" max="3840" width="6" style="112" customWidth="1"/>
    <col min="3841" max="3841" width="2.26953125" style="112" customWidth="1"/>
    <col min="3842" max="3842" width="3.26953125" style="112" customWidth="1"/>
    <col min="3843" max="3843" width="5.26953125" style="112" customWidth="1"/>
    <col min="3844" max="3845" width="7.54296875" style="112" customWidth="1"/>
    <col min="3846" max="3846" width="8.26953125" style="112" customWidth="1"/>
    <col min="3847" max="3847" width="1.7265625" style="112" customWidth="1"/>
    <col min="3848" max="3848" width="8" style="112" customWidth="1"/>
    <col min="3849" max="3849" width="1.7265625" style="112" customWidth="1"/>
    <col min="3850" max="3850" width="5.7265625" style="112" customWidth="1"/>
    <col min="3851" max="3851" width="3.7265625" style="112" customWidth="1"/>
    <col min="3852" max="3852" width="9.7265625" style="112" customWidth="1"/>
    <col min="3853" max="3853" width="11.1796875" style="112" customWidth="1"/>
    <col min="3854" max="3854" width="8.26953125" style="112" customWidth="1"/>
    <col min="3855" max="3855" width="10.1796875" style="112" customWidth="1"/>
    <col min="3856" max="4087" width="9.1796875" style="112"/>
    <col min="4088" max="4088" width="11.54296875" style="112" customWidth="1"/>
    <col min="4089" max="4089" width="9.1796875" style="112"/>
    <col min="4090" max="4090" width="18.7265625" style="112" customWidth="1"/>
    <col min="4091" max="4091" width="1.81640625" style="112" customWidth="1"/>
    <col min="4092" max="4092" width="8.26953125" style="112" customWidth="1"/>
    <col min="4093" max="4093" width="4.453125" style="112" customWidth="1"/>
    <col min="4094" max="4094" width="6.453125" style="112" customWidth="1"/>
    <col min="4095" max="4095" width="8.26953125" style="112" customWidth="1"/>
    <col min="4096" max="4096" width="6" style="112" customWidth="1"/>
    <col min="4097" max="4097" width="2.26953125" style="112" customWidth="1"/>
    <col min="4098" max="4098" width="3.26953125" style="112" customWidth="1"/>
    <col min="4099" max="4099" width="5.26953125" style="112" customWidth="1"/>
    <col min="4100" max="4101" width="7.54296875" style="112" customWidth="1"/>
    <col min="4102" max="4102" width="8.26953125" style="112" customWidth="1"/>
    <col min="4103" max="4103" width="1.7265625" style="112" customWidth="1"/>
    <col min="4104" max="4104" width="8" style="112" customWidth="1"/>
    <col min="4105" max="4105" width="1.7265625" style="112" customWidth="1"/>
    <col min="4106" max="4106" width="5.7265625" style="112" customWidth="1"/>
    <col min="4107" max="4107" width="3.7265625" style="112" customWidth="1"/>
    <col min="4108" max="4108" width="9.7265625" style="112" customWidth="1"/>
    <col min="4109" max="4109" width="11.1796875" style="112" customWidth="1"/>
    <col min="4110" max="4110" width="8.26953125" style="112" customWidth="1"/>
    <col min="4111" max="4111" width="10.1796875" style="112" customWidth="1"/>
    <col min="4112" max="4343" width="9.1796875" style="112"/>
    <col min="4344" max="4344" width="11.54296875" style="112" customWidth="1"/>
    <col min="4345" max="4345" width="9.1796875" style="112"/>
    <col min="4346" max="4346" width="18.7265625" style="112" customWidth="1"/>
    <col min="4347" max="4347" width="1.81640625" style="112" customWidth="1"/>
    <col min="4348" max="4348" width="8.26953125" style="112" customWidth="1"/>
    <col min="4349" max="4349" width="4.453125" style="112" customWidth="1"/>
    <col min="4350" max="4350" width="6.453125" style="112" customWidth="1"/>
    <col min="4351" max="4351" width="8.26953125" style="112" customWidth="1"/>
    <col min="4352" max="4352" width="6" style="112" customWidth="1"/>
    <col min="4353" max="4353" width="2.26953125" style="112" customWidth="1"/>
    <col min="4354" max="4354" width="3.26953125" style="112" customWidth="1"/>
    <col min="4355" max="4355" width="5.26953125" style="112" customWidth="1"/>
    <col min="4356" max="4357" width="7.54296875" style="112" customWidth="1"/>
    <col min="4358" max="4358" width="8.26953125" style="112" customWidth="1"/>
    <col min="4359" max="4359" width="1.7265625" style="112" customWidth="1"/>
    <col min="4360" max="4360" width="8" style="112" customWidth="1"/>
    <col min="4361" max="4361" width="1.7265625" style="112" customWidth="1"/>
    <col min="4362" max="4362" width="5.7265625" style="112" customWidth="1"/>
    <col min="4363" max="4363" width="3.7265625" style="112" customWidth="1"/>
    <col min="4364" max="4364" width="9.7265625" style="112" customWidth="1"/>
    <col min="4365" max="4365" width="11.1796875" style="112" customWidth="1"/>
    <col min="4366" max="4366" width="8.26953125" style="112" customWidth="1"/>
    <col min="4367" max="4367" width="10.1796875" style="112" customWidth="1"/>
    <col min="4368" max="4599" width="9.1796875" style="112"/>
    <col min="4600" max="4600" width="11.54296875" style="112" customWidth="1"/>
    <col min="4601" max="4601" width="9.1796875" style="112"/>
    <col min="4602" max="4602" width="18.7265625" style="112" customWidth="1"/>
    <col min="4603" max="4603" width="1.81640625" style="112" customWidth="1"/>
    <col min="4604" max="4604" width="8.26953125" style="112" customWidth="1"/>
    <col min="4605" max="4605" width="4.453125" style="112" customWidth="1"/>
    <col min="4606" max="4606" width="6.453125" style="112" customWidth="1"/>
    <col min="4607" max="4607" width="8.26953125" style="112" customWidth="1"/>
    <col min="4608" max="4608" width="6" style="112" customWidth="1"/>
    <col min="4609" max="4609" width="2.26953125" style="112" customWidth="1"/>
    <col min="4610" max="4610" width="3.26953125" style="112" customWidth="1"/>
    <col min="4611" max="4611" width="5.26953125" style="112" customWidth="1"/>
    <col min="4612" max="4613" width="7.54296875" style="112" customWidth="1"/>
    <col min="4614" max="4614" width="8.26953125" style="112" customWidth="1"/>
    <col min="4615" max="4615" width="1.7265625" style="112" customWidth="1"/>
    <col min="4616" max="4616" width="8" style="112" customWidth="1"/>
    <col min="4617" max="4617" width="1.7265625" style="112" customWidth="1"/>
    <col min="4618" max="4618" width="5.7265625" style="112" customWidth="1"/>
    <col min="4619" max="4619" width="3.7265625" style="112" customWidth="1"/>
    <col min="4620" max="4620" width="9.7265625" style="112" customWidth="1"/>
    <col min="4621" max="4621" width="11.1796875" style="112" customWidth="1"/>
    <col min="4622" max="4622" width="8.26953125" style="112" customWidth="1"/>
    <col min="4623" max="4623" width="10.1796875" style="112" customWidth="1"/>
    <col min="4624" max="4855" width="9.1796875" style="112"/>
    <col min="4856" max="4856" width="11.54296875" style="112" customWidth="1"/>
    <col min="4857" max="4857" width="9.1796875" style="112"/>
    <col min="4858" max="4858" width="18.7265625" style="112" customWidth="1"/>
    <col min="4859" max="4859" width="1.81640625" style="112" customWidth="1"/>
    <col min="4860" max="4860" width="8.26953125" style="112" customWidth="1"/>
    <col min="4861" max="4861" width="4.453125" style="112" customWidth="1"/>
    <col min="4862" max="4862" width="6.453125" style="112" customWidth="1"/>
    <col min="4863" max="4863" width="8.26953125" style="112" customWidth="1"/>
    <col min="4864" max="4864" width="6" style="112" customWidth="1"/>
    <col min="4865" max="4865" width="2.26953125" style="112" customWidth="1"/>
    <col min="4866" max="4866" width="3.26953125" style="112" customWidth="1"/>
    <col min="4867" max="4867" width="5.26953125" style="112" customWidth="1"/>
    <col min="4868" max="4869" width="7.54296875" style="112" customWidth="1"/>
    <col min="4870" max="4870" width="8.26953125" style="112" customWidth="1"/>
    <col min="4871" max="4871" width="1.7265625" style="112" customWidth="1"/>
    <col min="4872" max="4872" width="8" style="112" customWidth="1"/>
    <col min="4873" max="4873" width="1.7265625" style="112" customWidth="1"/>
    <col min="4874" max="4874" width="5.7265625" style="112" customWidth="1"/>
    <col min="4875" max="4875" width="3.7265625" style="112" customWidth="1"/>
    <col min="4876" max="4876" width="9.7265625" style="112" customWidth="1"/>
    <col min="4877" max="4877" width="11.1796875" style="112" customWidth="1"/>
    <col min="4878" max="4878" width="8.26953125" style="112" customWidth="1"/>
    <col min="4879" max="4879" width="10.1796875" style="112" customWidth="1"/>
    <col min="4880" max="5111" width="9.1796875" style="112"/>
    <col min="5112" max="5112" width="11.54296875" style="112" customWidth="1"/>
    <col min="5113" max="5113" width="9.1796875" style="112"/>
    <col min="5114" max="5114" width="18.7265625" style="112" customWidth="1"/>
    <col min="5115" max="5115" width="1.81640625" style="112" customWidth="1"/>
    <col min="5116" max="5116" width="8.26953125" style="112" customWidth="1"/>
    <col min="5117" max="5117" width="4.453125" style="112" customWidth="1"/>
    <col min="5118" max="5118" width="6.453125" style="112" customWidth="1"/>
    <col min="5119" max="5119" width="8.26953125" style="112" customWidth="1"/>
    <col min="5120" max="5120" width="6" style="112" customWidth="1"/>
    <col min="5121" max="5121" width="2.26953125" style="112" customWidth="1"/>
    <col min="5122" max="5122" width="3.26953125" style="112" customWidth="1"/>
    <col min="5123" max="5123" width="5.26953125" style="112" customWidth="1"/>
    <col min="5124" max="5125" width="7.54296875" style="112" customWidth="1"/>
    <col min="5126" max="5126" width="8.26953125" style="112" customWidth="1"/>
    <col min="5127" max="5127" width="1.7265625" style="112" customWidth="1"/>
    <col min="5128" max="5128" width="8" style="112" customWidth="1"/>
    <col min="5129" max="5129" width="1.7265625" style="112" customWidth="1"/>
    <col min="5130" max="5130" width="5.7265625" style="112" customWidth="1"/>
    <col min="5131" max="5131" width="3.7265625" style="112" customWidth="1"/>
    <col min="5132" max="5132" width="9.7265625" style="112" customWidth="1"/>
    <col min="5133" max="5133" width="11.1796875" style="112" customWidth="1"/>
    <col min="5134" max="5134" width="8.26953125" style="112" customWidth="1"/>
    <col min="5135" max="5135" width="10.1796875" style="112" customWidth="1"/>
    <col min="5136" max="5367" width="9.1796875" style="112"/>
    <col min="5368" max="5368" width="11.54296875" style="112" customWidth="1"/>
    <col min="5369" max="5369" width="9.1796875" style="112"/>
    <col min="5370" max="5370" width="18.7265625" style="112" customWidth="1"/>
    <col min="5371" max="5371" width="1.81640625" style="112" customWidth="1"/>
    <col min="5372" max="5372" width="8.26953125" style="112" customWidth="1"/>
    <col min="5373" max="5373" width="4.453125" style="112" customWidth="1"/>
    <col min="5374" max="5374" width="6.453125" style="112" customWidth="1"/>
    <col min="5375" max="5375" width="8.26953125" style="112" customWidth="1"/>
    <col min="5376" max="5376" width="6" style="112" customWidth="1"/>
    <col min="5377" max="5377" width="2.26953125" style="112" customWidth="1"/>
    <col min="5378" max="5378" width="3.26953125" style="112" customWidth="1"/>
    <col min="5379" max="5379" width="5.26953125" style="112" customWidth="1"/>
    <col min="5380" max="5381" width="7.54296875" style="112" customWidth="1"/>
    <col min="5382" max="5382" width="8.26953125" style="112" customWidth="1"/>
    <col min="5383" max="5383" width="1.7265625" style="112" customWidth="1"/>
    <col min="5384" max="5384" width="8" style="112" customWidth="1"/>
    <col min="5385" max="5385" width="1.7265625" style="112" customWidth="1"/>
    <col min="5386" max="5386" width="5.7265625" style="112" customWidth="1"/>
    <col min="5387" max="5387" width="3.7265625" style="112" customWidth="1"/>
    <col min="5388" max="5388" width="9.7265625" style="112" customWidth="1"/>
    <col min="5389" max="5389" width="11.1796875" style="112" customWidth="1"/>
    <col min="5390" max="5390" width="8.26953125" style="112" customWidth="1"/>
    <col min="5391" max="5391" width="10.1796875" style="112" customWidth="1"/>
    <col min="5392" max="5623" width="9.1796875" style="112"/>
    <col min="5624" max="5624" width="11.54296875" style="112" customWidth="1"/>
    <col min="5625" max="5625" width="9.1796875" style="112"/>
    <col min="5626" max="5626" width="18.7265625" style="112" customWidth="1"/>
    <col min="5627" max="5627" width="1.81640625" style="112" customWidth="1"/>
    <col min="5628" max="5628" width="8.26953125" style="112" customWidth="1"/>
    <col min="5629" max="5629" width="4.453125" style="112" customWidth="1"/>
    <col min="5630" max="5630" width="6.453125" style="112" customWidth="1"/>
    <col min="5631" max="5631" width="8.26953125" style="112" customWidth="1"/>
    <col min="5632" max="5632" width="6" style="112" customWidth="1"/>
    <col min="5633" max="5633" width="2.26953125" style="112" customWidth="1"/>
    <col min="5634" max="5634" width="3.26953125" style="112" customWidth="1"/>
    <col min="5635" max="5635" width="5.26953125" style="112" customWidth="1"/>
    <col min="5636" max="5637" width="7.54296875" style="112" customWidth="1"/>
    <col min="5638" max="5638" width="8.26953125" style="112" customWidth="1"/>
    <col min="5639" max="5639" width="1.7265625" style="112" customWidth="1"/>
    <col min="5640" max="5640" width="8" style="112" customWidth="1"/>
    <col min="5641" max="5641" width="1.7265625" style="112" customWidth="1"/>
    <col min="5642" max="5642" width="5.7265625" style="112" customWidth="1"/>
    <col min="5643" max="5643" width="3.7265625" style="112" customWidth="1"/>
    <col min="5644" max="5644" width="9.7265625" style="112" customWidth="1"/>
    <col min="5645" max="5645" width="11.1796875" style="112" customWidth="1"/>
    <col min="5646" max="5646" width="8.26953125" style="112" customWidth="1"/>
    <col min="5647" max="5647" width="10.1796875" style="112" customWidth="1"/>
    <col min="5648" max="5879" width="9.1796875" style="112"/>
    <col min="5880" max="5880" width="11.54296875" style="112" customWidth="1"/>
    <col min="5881" max="5881" width="9.1796875" style="112"/>
    <col min="5882" max="5882" width="18.7265625" style="112" customWidth="1"/>
    <col min="5883" max="5883" width="1.81640625" style="112" customWidth="1"/>
    <col min="5884" max="5884" width="8.26953125" style="112" customWidth="1"/>
    <col min="5885" max="5885" width="4.453125" style="112" customWidth="1"/>
    <col min="5886" max="5886" width="6.453125" style="112" customWidth="1"/>
    <col min="5887" max="5887" width="8.26953125" style="112" customWidth="1"/>
    <col min="5888" max="5888" width="6" style="112" customWidth="1"/>
    <col min="5889" max="5889" width="2.26953125" style="112" customWidth="1"/>
    <col min="5890" max="5890" width="3.26953125" style="112" customWidth="1"/>
    <col min="5891" max="5891" width="5.26953125" style="112" customWidth="1"/>
    <col min="5892" max="5893" width="7.54296875" style="112" customWidth="1"/>
    <col min="5894" max="5894" width="8.26953125" style="112" customWidth="1"/>
    <col min="5895" max="5895" width="1.7265625" style="112" customWidth="1"/>
    <col min="5896" max="5896" width="8" style="112" customWidth="1"/>
    <col min="5897" max="5897" width="1.7265625" style="112" customWidth="1"/>
    <col min="5898" max="5898" width="5.7265625" style="112" customWidth="1"/>
    <col min="5899" max="5899" width="3.7265625" style="112" customWidth="1"/>
    <col min="5900" max="5900" width="9.7265625" style="112" customWidth="1"/>
    <col min="5901" max="5901" width="11.1796875" style="112" customWidth="1"/>
    <col min="5902" max="5902" width="8.26953125" style="112" customWidth="1"/>
    <col min="5903" max="5903" width="10.1796875" style="112" customWidth="1"/>
    <col min="5904" max="6135" width="9.1796875" style="112"/>
    <col min="6136" max="6136" width="11.54296875" style="112" customWidth="1"/>
    <col min="6137" max="6137" width="9.1796875" style="112"/>
    <col min="6138" max="6138" width="18.7265625" style="112" customWidth="1"/>
    <col min="6139" max="6139" width="1.81640625" style="112" customWidth="1"/>
    <col min="6140" max="6140" width="8.26953125" style="112" customWidth="1"/>
    <col min="6141" max="6141" width="4.453125" style="112" customWidth="1"/>
    <col min="6142" max="6142" width="6.453125" style="112" customWidth="1"/>
    <col min="6143" max="6143" width="8.26953125" style="112" customWidth="1"/>
    <col min="6144" max="6144" width="6" style="112" customWidth="1"/>
    <col min="6145" max="6145" width="2.26953125" style="112" customWidth="1"/>
    <col min="6146" max="6146" width="3.26953125" style="112" customWidth="1"/>
    <col min="6147" max="6147" width="5.26953125" style="112" customWidth="1"/>
    <col min="6148" max="6149" width="7.54296875" style="112" customWidth="1"/>
    <col min="6150" max="6150" width="8.26953125" style="112" customWidth="1"/>
    <col min="6151" max="6151" width="1.7265625" style="112" customWidth="1"/>
    <col min="6152" max="6152" width="8" style="112" customWidth="1"/>
    <col min="6153" max="6153" width="1.7265625" style="112" customWidth="1"/>
    <col min="6154" max="6154" width="5.7265625" style="112" customWidth="1"/>
    <col min="6155" max="6155" width="3.7265625" style="112" customWidth="1"/>
    <col min="6156" max="6156" width="9.7265625" style="112" customWidth="1"/>
    <col min="6157" max="6157" width="11.1796875" style="112" customWidth="1"/>
    <col min="6158" max="6158" width="8.26953125" style="112" customWidth="1"/>
    <col min="6159" max="6159" width="10.1796875" style="112" customWidth="1"/>
    <col min="6160" max="6391" width="9.1796875" style="112"/>
    <col min="6392" max="6392" width="11.54296875" style="112" customWidth="1"/>
    <col min="6393" max="6393" width="9.1796875" style="112"/>
    <col min="6394" max="6394" width="18.7265625" style="112" customWidth="1"/>
    <col min="6395" max="6395" width="1.81640625" style="112" customWidth="1"/>
    <col min="6396" max="6396" width="8.26953125" style="112" customWidth="1"/>
    <col min="6397" max="6397" width="4.453125" style="112" customWidth="1"/>
    <col min="6398" max="6398" width="6.453125" style="112" customWidth="1"/>
    <col min="6399" max="6399" width="8.26953125" style="112" customWidth="1"/>
    <col min="6400" max="6400" width="6" style="112" customWidth="1"/>
    <col min="6401" max="6401" width="2.26953125" style="112" customWidth="1"/>
    <col min="6402" max="6402" width="3.26953125" style="112" customWidth="1"/>
    <col min="6403" max="6403" width="5.26953125" style="112" customWidth="1"/>
    <col min="6404" max="6405" width="7.54296875" style="112" customWidth="1"/>
    <col min="6406" max="6406" width="8.26953125" style="112" customWidth="1"/>
    <col min="6407" max="6407" width="1.7265625" style="112" customWidth="1"/>
    <col min="6408" max="6408" width="8" style="112" customWidth="1"/>
    <col min="6409" max="6409" width="1.7265625" style="112" customWidth="1"/>
    <col min="6410" max="6410" width="5.7265625" style="112" customWidth="1"/>
    <col min="6411" max="6411" width="3.7265625" style="112" customWidth="1"/>
    <col min="6412" max="6412" width="9.7265625" style="112" customWidth="1"/>
    <col min="6413" max="6413" width="11.1796875" style="112" customWidth="1"/>
    <col min="6414" max="6414" width="8.26953125" style="112" customWidth="1"/>
    <col min="6415" max="6415" width="10.1796875" style="112" customWidth="1"/>
    <col min="6416" max="6647" width="9.1796875" style="112"/>
    <col min="6648" max="6648" width="11.54296875" style="112" customWidth="1"/>
    <col min="6649" max="6649" width="9.1796875" style="112"/>
    <col min="6650" max="6650" width="18.7265625" style="112" customWidth="1"/>
    <col min="6651" max="6651" width="1.81640625" style="112" customWidth="1"/>
    <col min="6652" max="6652" width="8.26953125" style="112" customWidth="1"/>
    <col min="6653" max="6653" width="4.453125" style="112" customWidth="1"/>
    <col min="6654" max="6654" width="6.453125" style="112" customWidth="1"/>
    <col min="6655" max="6655" width="8.26953125" style="112" customWidth="1"/>
    <col min="6656" max="6656" width="6" style="112" customWidth="1"/>
    <col min="6657" max="6657" width="2.26953125" style="112" customWidth="1"/>
    <col min="6658" max="6658" width="3.26953125" style="112" customWidth="1"/>
    <col min="6659" max="6659" width="5.26953125" style="112" customWidth="1"/>
    <col min="6660" max="6661" width="7.54296875" style="112" customWidth="1"/>
    <col min="6662" max="6662" width="8.26953125" style="112" customWidth="1"/>
    <col min="6663" max="6663" width="1.7265625" style="112" customWidth="1"/>
    <col min="6664" max="6664" width="8" style="112" customWidth="1"/>
    <col min="6665" max="6665" width="1.7265625" style="112" customWidth="1"/>
    <col min="6666" max="6666" width="5.7265625" style="112" customWidth="1"/>
    <col min="6667" max="6667" width="3.7265625" style="112" customWidth="1"/>
    <col min="6668" max="6668" width="9.7265625" style="112" customWidth="1"/>
    <col min="6669" max="6669" width="11.1796875" style="112" customWidth="1"/>
    <col min="6670" max="6670" width="8.26953125" style="112" customWidth="1"/>
    <col min="6671" max="6671" width="10.1796875" style="112" customWidth="1"/>
    <col min="6672" max="6903" width="9.1796875" style="112"/>
    <col min="6904" max="6904" width="11.54296875" style="112" customWidth="1"/>
    <col min="6905" max="6905" width="9.1796875" style="112"/>
    <col min="6906" max="6906" width="18.7265625" style="112" customWidth="1"/>
    <col min="6907" max="6907" width="1.81640625" style="112" customWidth="1"/>
    <col min="6908" max="6908" width="8.26953125" style="112" customWidth="1"/>
    <col min="6909" max="6909" width="4.453125" style="112" customWidth="1"/>
    <col min="6910" max="6910" width="6.453125" style="112" customWidth="1"/>
    <col min="6911" max="6911" width="8.26953125" style="112" customWidth="1"/>
    <col min="6912" max="6912" width="6" style="112" customWidth="1"/>
    <col min="6913" max="6913" width="2.26953125" style="112" customWidth="1"/>
    <col min="6914" max="6914" width="3.26953125" style="112" customWidth="1"/>
    <col min="6915" max="6915" width="5.26953125" style="112" customWidth="1"/>
    <col min="6916" max="6917" width="7.54296875" style="112" customWidth="1"/>
    <col min="6918" max="6918" width="8.26953125" style="112" customWidth="1"/>
    <col min="6919" max="6919" width="1.7265625" style="112" customWidth="1"/>
    <col min="6920" max="6920" width="8" style="112" customWidth="1"/>
    <col min="6921" max="6921" width="1.7265625" style="112" customWidth="1"/>
    <col min="6922" max="6922" width="5.7265625" style="112" customWidth="1"/>
    <col min="6923" max="6923" width="3.7265625" style="112" customWidth="1"/>
    <col min="6924" max="6924" width="9.7265625" style="112" customWidth="1"/>
    <col min="6925" max="6925" width="11.1796875" style="112" customWidth="1"/>
    <col min="6926" max="6926" width="8.26953125" style="112" customWidth="1"/>
    <col min="6927" max="6927" width="10.1796875" style="112" customWidth="1"/>
    <col min="6928" max="7159" width="9.1796875" style="112"/>
    <col min="7160" max="7160" width="11.54296875" style="112" customWidth="1"/>
    <col min="7161" max="7161" width="9.1796875" style="112"/>
    <col min="7162" max="7162" width="18.7265625" style="112" customWidth="1"/>
    <col min="7163" max="7163" width="1.81640625" style="112" customWidth="1"/>
    <col min="7164" max="7164" width="8.26953125" style="112" customWidth="1"/>
    <col min="7165" max="7165" width="4.453125" style="112" customWidth="1"/>
    <col min="7166" max="7166" width="6.453125" style="112" customWidth="1"/>
    <col min="7167" max="7167" width="8.26953125" style="112" customWidth="1"/>
    <col min="7168" max="7168" width="6" style="112" customWidth="1"/>
    <col min="7169" max="7169" width="2.26953125" style="112" customWidth="1"/>
    <col min="7170" max="7170" width="3.26953125" style="112" customWidth="1"/>
    <col min="7171" max="7171" width="5.26953125" style="112" customWidth="1"/>
    <col min="7172" max="7173" width="7.54296875" style="112" customWidth="1"/>
    <col min="7174" max="7174" width="8.26953125" style="112" customWidth="1"/>
    <col min="7175" max="7175" width="1.7265625" style="112" customWidth="1"/>
    <col min="7176" max="7176" width="8" style="112" customWidth="1"/>
    <col min="7177" max="7177" width="1.7265625" style="112" customWidth="1"/>
    <col min="7178" max="7178" width="5.7265625" style="112" customWidth="1"/>
    <col min="7179" max="7179" width="3.7265625" style="112" customWidth="1"/>
    <col min="7180" max="7180" width="9.7265625" style="112" customWidth="1"/>
    <col min="7181" max="7181" width="11.1796875" style="112" customWidth="1"/>
    <col min="7182" max="7182" width="8.26953125" style="112" customWidth="1"/>
    <col min="7183" max="7183" width="10.1796875" style="112" customWidth="1"/>
    <col min="7184" max="7415" width="9.1796875" style="112"/>
    <col min="7416" max="7416" width="11.54296875" style="112" customWidth="1"/>
    <col min="7417" max="7417" width="9.1796875" style="112"/>
    <col min="7418" max="7418" width="18.7265625" style="112" customWidth="1"/>
    <col min="7419" max="7419" width="1.81640625" style="112" customWidth="1"/>
    <col min="7420" max="7420" width="8.26953125" style="112" customWidth="1"/>
    <col min="7421" max="7421" width="4.453125" style="112" customWidth="1"/>
    <col min="7422" max="7422" width="6.453125" style="112" customWidth="1"/>
    <col min="7423" max="7423" width="8.26953125" style="112" customWidth="1"/>
    <col min="7424" max="7424" width="6" style="112" customWidth="1"/>
    <col min="7425" max="7425" width="2.26953125" style="112" customWidth="1"/>
    <col min="7426" max="7426" width="3.26953125" style="112" customWidth="1"/>
    <col min="7427" max="7427" width="5.26953125" style="112" customWidth="1"/>
    <col min="7428" max="7429" width="7.54296875" style="112" customWidth="1"/>
    <col min="7430" max="7430" width="8.26953125" style="112" customWidth="1"/>
    <col min="7431" max="7431" width="1.7265625" style="112" customWidth="1"/>
    <col min="7432" max="7432" width="8" style="112" customWidth="1"/>
    <col min="7433" max="7433" width="1.7265625" style="112" customWidth="1"/>
    <col min="7434" max="7434" width="5.7265625" style="112" customWidth="1"/>
    <col min="7435" max="7435" width="3.7265625" style="112" customWidth="1"/>
    <col min="7436" max="7436" width="9.7265625" style="112" customWidth="1"/>
    <col min="7437" max="7437" width="11.1796875" style="112" customWidth="1"/>
    <col min="7438" max="7438" width="8.26953125" style="112" customWidth="1"/>
    <col min="7439" max="7439" width="10.1796875" style="112" customWidth="1"/>
    <col min="7440" max="7671" width="9.1796875" style="112"/>
    <col min="7672" max="7672" width="11.54296875" style="112" customWidth="1"/>
    <col min="7673" max="7673" width="9.1796875" style="112"/>
    <col min="7674" max="7674" width="18.7265625" style="112" customWidth="1"/>
    <col min="7675" max="7675" width="1.81640625" style="112" customWidth="1"/>
    <col min="7676" max="7676" width="8.26953125" style="112" customWidth="1"/>
    <col min="7677" max="7677" width="4.453125" style="112" customWidth="1"/>
    <col min="7678" max="7678" width="6.453125" style="112" customWidth="1"/>
    <col min="7679" max="7679" width="8.26953125" style="112" customWidth="1"/>
    <col min="7680" max="7680" width="6" style="112" customWidth="1"/>
    <col min="7681" max="7681" width="2.26953125" style="112" customWidth="1"/>
    <col min="7682" max="7682" width="3.26953125" style="112" customWidth="1"/>
    <col min="7683" max="7683" width="5.26953125" style="112" customWidth="1"/>
    <col min="7684" max="7685" width="7.54296875" style="112" customWidth="1"/>
    <col min="7686" max="7686" width="8.26953125" style="112" customWidth="1"/>
    <col min="7687" max="7687" width="1.7265625" style="112" customWidth="1"/>
    <col min="7688" max="7688" width="8" style="112" customWidth="1"/>
    <col min="7689" max="7689" width="1.7265625" style="112" customWidth="1"/>
    <col min="7690" max="7690" width="5.7265625" style="112" customWidth="1"/>
    <col min="7691" max="7691" width="3.7265625" style="112" customWidth="1"/>
    <col min="7692" max="7692" width="9.7265625" style="112" customWidth="1"/>
    <col min="7693" max="7693" width="11.1796875" style="112" customWidth="1"/>
    <col min="7694" max="7694" width="8.26953125" style="112" customWidth="1"/>
    <col min="7695" max="7695" width="10.1796875" style="112" customWidth="1"/>
    <col min="7696" max="7927" width="9.1796875" style="112"/>
    <col min="7928" max="7928" width="11.54296875" style="112" customWidth="1"/>
    <col min="7929" max="7929" width="9.1796875" style="112"/>
    <col min="7930" max="7930" width="18.7265625" style="112" customWidth="1"/>
    <col min="7931" max="7931" width="1.81640625" style="112" customWidth="1"/>
    <col min="7932" max="7932" width="8.26953125" style="112" customWidth="1"/>
    <col min="7933" max="7933" width="4.453125" style="112" customWidth="1"/>
    <col min="7934" max="7934" width="6.453125" style="112" customWidth="1"/>
    <col min="7935" max="7935" width="8.26953125" style="112" customWidth="1"/>
    <col min="7936" max="7936" width="6" style="112" customWidth="1"/>
    <col min="7937" max="7937" width="2.26953125" style="112" customWidth="1"/>
    <col min="7938" max="7938" width="3.26953125" style="112" customWidth="1"/>
    <col min="7939" max="7939" width="5.26953125" style="112" customWidth="1"/>
    <col min="7940" max="7941" width="7.54296875" style="112" customWidth="1"/>
    <col min="7942" max="7942" width="8.26953125" style="112" customWidth="1"/>
    <col min="7943" max="7943" width="1.7265625" style="112" customWidth="1"/>
    <col min="7944" max="7944" width="8" style="112" customWidth="1"/>
    <col min="7945" max="7945" width="1.7265625" style="112" customWidth="1"/>
    <col min="7946" max="7946" width="5.7265625" style="112" customWidth="1"/>
    <col min="7947" max="7947" width="3.7265625" style="112" customWidth="1"/>
    <col min="7948" max="7948" width="9.7265625" style="112" customWidth="1"/>
    <col min="7949" max="7949" width="11.1796875" style="112" customWidth="1"/>
    <col min="7950" max="7950" width="8.26953125" style="112" customWidth="1"/>
    <col min="7951" max="7951" width="10.1796875" style="112" customWidth="1"/>
    <col min="7952" max="8183" width="9.1796875" style="112"/>
    <col min="8184" max="8184" width="11.54296875" style="112" customWidth="1"/>
    <col min="8185" max="8185" width="9.1796875" style="112"/>
    <col min="8186" max="8186" width="18.7265625" style="112" customWidth="1"/>
    <col min="8187" max="8187" width="1.81640625" style="112" customWidth="1"/>
    <col min="8188" max="8188" width="8.26953125" style="112" customWidth="1"/>
    <col min="8189" max="8189" width="4.453125" style="112" customWidth="1"/>
    <col min="8190" max="8190" width="6.453125" style="112" customWidth="1"/>
    <col min="8191" max="8191" width="8.26953125" style="112" customWidth="1"/>
    <col min="8192" max="8192" width="6" style="112" customWidth="1"/>
    <col min="8193" max="8193" width="2.26953125" style="112" customWidth="1"/>
    <col min="8194" max="8194" width="3.26953125" style="112" customWidth="1"/>
    <col min="8195" max="8195" width="5.26953125" style="112" customWidth="1"/>
    <col min="8196" max="8197" width="7.54296875" style="112" customWidth="1"/>
    <col min="8198" max="8198" width="8.26953125" style="112" customWidth="1"/>
    <col min="8199" max="8199" width="1.7265625" style="112" customWidth="1"/>
    <col min="8200" max="8200" width="8" style="112" customWidth="1"/>
    <col min="8201" max="8201" width="1.7265625" style="112" customWidth="1"/>
    <col min="8202" max="8202" width="5.7265625" style="112" customWidth="1"/>
    <col min="8203" max="8203" width="3.7265625" style="112" customWidth="1"/>
    <col min="8204" max="8204" width="9.7265625" style="112" customWidth="1"/>
    <col min="8205" max="8205" width="11.1796875" style="112" customWidth="1"/>
    <col min="8206" max="8206" width="8.26953125" style="112" customWidth="1"/>
    <col min="8207" max="8207" width="10.1796875" style="112" customWidth="1"/>
    <col min="8208" max="8439" width="9.1796875" style="112"/>
    <col min="8440" max="8440" width="11.54296875" style="112" customWidth="1"/>
    <col min="8441" max="8441" width="9.1796875" style="112"/>
    <col min="8442" max="8442" width="18.7265625" style="112" customWidth="1"/>
    <col min="8443" max="8443" width="1.81640625" style="112" customWidth="1"/>
    <col min="8444" max="8444" width="8.26953125" style="112" customWidth="1"/>
    <col min="8445" max="8445" width="4.453125" style="112" customWidth="1"/>
    <col min="8446" max="8446" width="6.453125" style="112" customWidth="1"/>
    <col min="8447" max="8447" width="8.26953125" style="112" customWidth="1"/>
    <col min="8448" max="8448" width="6" style="112" customWidth="1"/>
    <col min="8449" max="8449" width="2.26953125" style="112" customWidth="1"/>
    <col min="8450" max="8450" width="3.26953125" style="112" customWidth="1"/>
    <col min="8451" max="8451" width="5.26953125" style="112" customWidth="1"/>
    <col min="8452" max="8453" width="7.54296875" style="112" customWidth="1"/>
    <col min="8454" max="8454" width="8.26953125" style="112" customWidth="1"/>
    <col min="8455" max="8455" width="1.7265625" style="112" customWidth="1"/>
    <col min="8456" max="8456" width="8" style="112" customWidth="1"/>
    <col min="8457" max="8457" width="1.7265625" style="112" customWidth="1"/>
    <col min="8458" max="8458" width="5.7265625" style="112" customWidth="1"/>
    <col min="8459" max="8459" width="3.7265625" style="112" customWidth="1"/>
    <col min="8460" max="8460" width="9.7265625" style="112" customWidth="1"/>
    <col min="8461" max="8461" width="11.1796875" style="112" customWidth="1"/>
    <col min="8462" max="8462" width="8.26953125" style="112" customWidth="1"/>
    <col min="8463" max="8463" width="10.1796875" style="112" customWidth="1"/>
    <col min="8464" max="8695" width="9.1796875" style="112"/>
    <col min="8696" max="8696" width="11.54296875" style="112" customWidth="1"/>
    <col min="8697" max="8697" width="9.1796875" style="112"/>
    <col min="8698" max="8698" width="18.7265625" style="112" customWidth="1"/>
    <col min="8699" max="8699" width="1.81640625" style="112" customWidth="1"/>
    <col min="8700" max="8700" width="8.26953125" style="112" customWidth="1"/>
    <col min="8701" max="8701" width="4.453125" style="112" customWidth="1"/>
    <col min="8702" max="8702" width="6.453125" style="112" customWidth="1"/>
    <col min="8703" max="8703" width="8.26953125" style="112" customWidth="1"/>
    <col min="8704" max="8704" width="6" style="112" customWidth="1"/>
    <col min="8705" max="8705" width="2.26953125" style="112" customWidth="1"/>
    <col min="8706" max="8706" width="3.26953125" style="112" customWidth="1"/>
    <col min="8707" max="8707" width="5.26953125" style="112" customWidth="1"/>
    <col min="8708" max="8709" width="7.54296875" style="112" customWidth="1"/>
    <col min="8710" max="8710" width="8.26953125" style="112" customWidth="1"/>
    <col min="8711" max="8711" width="1.7265625" style="112" customWidth="1"/>
    <col min="8712" max="8712" width="8" style="112" customWidth="1"/>
    <col min="8713" max="8713" width="1.7265625" style="112" customWidth="1"/>
    <col min="8714" max="8714" width="5.7265625" style="112" customWidth="1"/>
    <col min="8715" max="8715" width="3.7265625" style="112" customWidth="1"/>
    <col min="8716" max="8716" width="9.7265625" style="112" customWidth="1"/>
    <col min="8717" max="8717" width="11.1796875" style="112" customWidth="1"/>
    <col min="8718" max="8718" width="8.26953125" style="112" customWidth="1"/>
    <col min="8719" max="8719" width="10.1796875" style="112" customWidth="1"/>
    <col min="8720" max="8951" width="9.1796875" style="112"/>
    <col min="8952" max="8952" width="11.54296875" style="112" customWidth="1"/>
    <col min="8953" max="8953" width="9.1796875" style="112"/>
    <col min="8954" max="8954" width="18.7265625" style="112" customWidth="1"/>
    <col min="8955" max="8955" width="1.81640625" style="112" customWidth="1"/>
    <col min="8956" max="8956" width="8.26953125" style="112" customWidth="1"/>
    <col min="8957" max="8957" width="4.453125" style="112" customWidth="1"/>
    <col min="8958" max="8958" width="6.453125" style="112" customWidth="1"/>
    <col min="8959" max="8959" width="8.26953125" style="112" customWidth="1"/>
    <col min="8960" max="8960" width="6" style="112" customWidth="1"/>
    <col min="8961" max="8961" width="2.26953125" style="112" customWidth="1"/>
    <col min="8962" max="8962" width="3.26953125" style="112" customWidth="1"/>
    <col min="8963" max="8963" width="5.26953125" style="112" customWidth="1"/>
    <col min="8964" max="8965" width="7.54296875" style="112" customWidth="1"/>
    <col min="8966" max="8966" width="8.26953125" style="112" customWidth="1"/>
    <col min="8967" max="8967" width="1.7265625" style="112" customWidth="1"/>
    <col min="8968" max="8968" width="8" style="112" customWidth="1"/>
    <col min="8969" max="8969" width="1.7265625" style="112" customWidth="1"/>
    <col min="8970" max="8970" width="5.7265625" style="112" customWidth="1"/>
    <col min="8971" max="8971" width="3.7265625" style="112" customWidth="1"/>
    <col min="8972" max="8972" width="9.7265625" style="112" customWidth="1"/>
    <col min="8973" max="8973" width="11.1796875" style="112" customWidth="1"/>
    <col min="8974" max="8974" width="8.26953125" style="112" customWidth="1"/>
    <col min="8975" max="8975" width="10.1796875" style="112" customWidth="1"/>
    <col min="8976" max="9207" width="9.1796875" style="112"/>
    <col min="9208" max="9208" width="11.54296875" style="112" customWidth="1"/>
    <col min="9209" max="9209" width="9.1796875" style="112"/>
    <col min="9210" max="9210" width="18.7265625" style="112" customWidth="1"/>
    <col min="9211" max="9211" width="1.81640625" style="112" customWidth="1"/>
    <col min="9212" max="9212" width="8.26953125" style="112" customWidth="1"/>
    <col min="9213" max="9213" width="4.453125" style="112" customWidth="1"/>
    <col min="9214" max="9214" width="6.453125" style="112" customWidth="1"/>
    <col min="9215" max="9215" width="8.26953125" style="112" customWidth="1"/>
    <col min="9216" max="9216" width="6" style="112" customWidth="1"/>
    <col min="9217" max="9217" width="2.26953125" style="112" customWidth="1"/>
    <col min="9218" max="9218" width="3.26953125" style="112" customWidth="1"/>
    <col min="9219" max="9219" width="5.26953125" style="112" customWidth="1"/>
    <col min="9220" max="9221" width="7.54296875" style="112" customWidth="1"/>
    <col min="9222" max="9222" width="8.26953125" style="112" customWidth="1"/>
    <col min="9223" max="9223" width="1.7265625" style="112" customWidth="1"/>
    <col min="9224" max="9224" width="8" style="112" customWidth="1"/>
    <col min="9225" max="9225" width="1.7265625" style="112" customWidth="1"/>
    <col min="9226" max="9226" width="5.7265625" style="112" customWidth="1"/>
    <col min="9227" max="9227" width="3.7265625" style="112" customWidth="1"/>
    <col min="9228" max="9228" width="9.7265625" style="112" customWidth="1"/>
    <col min="9229" max="9229" width="11.1796875" style="112" customWidth="1"/>
    <col min="9230" max="9230" width="8.26953125" style="112" customWidth="1"/>
    <col min="9231" max="9231" width="10.1796875" style="112" customWidth="1"/>
    <col min="9232" max="9463" width="9.1796875" style="112"/>
    <col min="9464" max="9464" width="11.54296875" style="112" customWidth="1"/>
    <col min="9465" max="9465" width="9.1796875" style="112"/>
    <col min="9466" max="9466" width="18.7265625" style="112" customWidth="1"/>
    <col min="9467" max="9467" width="1.81640625" style="112" customWidth="1"/>
    <col min="9468" max="9468" width="8.26953125" style="112" customWidth="1"/>
    <col min="9469" max="9469" width="4.453125" style="112" customWidth="1"/>
    <col min="9470" max="9470" width="6.453125" style="112" customWidth="1"/>
    <col min="9471" max="9471" width="8.26953125" style="112" customWidth="1"/>
    <col min="9472" max="9472" width="6" style="112" customWidth="1"/>
    <col min="9473" max="9473" width="2.26953125" style="112" customWidth="1"/>
    <col min="9474" max="9474" width="3.26953125" style="112" customWidth="1"/>
    <col min="9475" max="9475" width="5.26953125" style="112" customWidth="1"/>
    <col min="9476" max="9477" width="7.54296875" style="112" customWidth="1"/>
    <col min="9478" max="9478" width="8.26953125" style="112" customWidth="1"/>
    <col min="9479" max="9479" width="1.7265625" style="112" customWidth="1"/>
    <col min="9480" max="9480" width="8" style="112" customWidth="1"/>
    <col min="9481" max="9481" width="1.7265625" style="112" customWidth="1"/>
    <col min="9482" max="9482" width="5.7265625" style="112" customWidth="1"/>
    <col min="9483" max="9483" width="3.7265625" style="112" customWidth="1"/>
    <col min="9484" max="9484" width="9.7265625" style="112" customWidth="1"/>
    <col min="9485" max="9485" width="11.1796875" style="112" customWidth="1"/>
    <col min="9486" max="9486" width="8.26953125" style="112" customWidth="1"/>
    <col min="9487" max="9487" width="10.1796875" style="112" customWidth="1"/>
    <col min="9488" max="9719" width="9.1796875" style="112"/>
    <col min="9720" max="9720" width="11.54296875" style="112" customWidth="1"/>
    <col min="9721" max="9721" width="9.1796875" style="112"/>
    <col min="9722" max="9722" width="18.7265625" style="112" customWidth="1"/>
    <col min="9723" max="9723" width="1.81640625" style="112" customWidth="1"/>
    <col min="9724" max="9724" width="8.26953125" style="112" customWidth="1"/>
    <col min="9725" max="9725" width="4.453125" style="112" customWidth="1"/>
    <col min="9726" max="9726" width="6.453125" style="112" customWidth="1"/>
    <col min="9727" max="9727" width="8.26953125" style="112" customWidth="1"/>
    <col min="9728" max="9728" width="6" style="112" customWidth="1"/>
    <col min="9729" max="9729" width="2.26953125" style="112" customWidth="1"/>
    <col min="9730" max="9730" width="3.26953125" style="112" customWidth="1"/>
    <col min="9731" max="9731" width="5.26953125" style="112" customWidth="1"/>
    <col min="9732" max="9733" width="7.54296875" style="112" customWidth="1"/>
    <col min="9734" max="9734" width="8.26953125" style="112" customWidth="1"/>
    <col min="9735" max="9735" width="1.7265625" style="112" customWidth="1"/>
    <col min="9736" max="9736" width="8" style="112" customWidth="1"/>
    <col min="9737" max="9737" width="1.7265625" style="112" customWidth="1"/>
    <col min="9738" max="9738" width="5.7265625" style="112" customWidth="1"/>
    <col min="9739" max="9739" width="3.7265625" style="112" customWidth="1"/>
    <col min="9740" max="9740" width="9.7265625" style="112" customWidth="1"/>
    <col min="9741" max="9741" width="11.1796875" style="112" customWidth="1"/>
    <col min="9742" max="9742" width="8.26953125" style="112" customWidth="1"/>
    <col min="9743" max="9743" width="10.1796875" style="112" customWidth="1"/>
    <col min="9744" max="9975" width="9.1796875" style="112"/>
    <col min="9976" max="9976" width="11.54296875" style="112" customWidth="1"/>
    <col min="9977" max="9977" width="9.1796875" style="112"/>
    <col min="9978" max="9978" width="18.7265625" style="112" customWidth="1"/>
    <col min="9979" max="9979" width="1.81640625" style="112" customWidth="1"/>
    <col min="9980" max="9980" width="8.26953125" style="112" customWidth="1"/>
    <col min="9981" max="9981" width="4.453125" style="112" customWidth="1"/>
    <col min="9982" max="9982" width="6.453125" style="112" customWidth="1"/>
    <col min="9983" max="9983" width="8.26953125" style="112" customWidth="1"/>
    <col min="9984" max="9984" width="6" style="112" customWidth="1"/>
    <col min="9985" max="9985" width="2.26953125" style="112" customWidth="1"/>
    <col min="9986" max="9986" width="3.26953125" style="112" customWidth="1"/>
    <col min="9987" max="9987" width="5.26953125" style="112" customWidth="1"/>
    <col min="9988" max="9989" width="7.54296875" style="112" customWidth="1"/>
    <col min="9990" max="9990" width="8.26953125" style="112" customWidth="1"/>
    <col min="9991" max="9991" width="1.7265625" style="112" customWidth="1"/>
    <col min="9992" max="9992" width="8" style="112" customWidth="1"/>
    <col min="9993" max="9993" width="1.7265625" style="112" customWidth="1"/>
    <col min="9994" max="9994" width="5.7265625" style="112" customWidth="1"/>
    <col min="9995" max="9995" width="3.7265625" style="112" customWidth="1"/>
    <col min="9996" max="9996" width="9.7265625" style="112" customWidth="1"/>
    <col min="9997" max="9997" width="11.1796875" style="112" customWidth="1"/>
    <col min="9998" max="9998" width="8.26953125" style="112" customWidth="1"/>
    <col min="9999" max="9999" width="10.1796875" style="112" customWidth="1"/>
    <col min="10000" max="10231" width="9.1796875" style="112"/>
    <col min="10232" max="10232" width="11.54296875" style="112" customWidth="1"/>
    <col min="10233" max="10233" width="9.1796875" style="112"/>
    <col min="10234" max="10234" width="18.7265625" style="112" customWidth="1"/>
    <col min="10235" max="10235" width="1.81640625" style="112" customWidth="1"/>
    <col min="10236" max="10236" width="8.26953125" style="112" customWidth="1"/>
    <col min="10237" max="10237" width="4.453125" style="112" customWidth="1"/>
    <col min="10238" max="10238" width="6.453125" style="112" customWidth="1"/>
    <col min="10239" max="10239" width="8.26953125" style="112" customWidth="1"/>
    <col min="10240" max="10240" width="6" style="112" customWidth="1"/>
    <col min="10241" max="10241" width="2.26953125" style="112" customWidth="1"/>
    <col min="10242" max="10242" width="3.26953125" style="112" customWidth="1"/>
    <col min="10243" max="10243" width="5.26953125" style="112" customWidth="1"/>
    <col min="10244" max="10245" width="7.54296875" style="112" customWidth="1"/>
    <col min="10246" max="10246" width="8.26953125" style="112" customWidth="1"/>
    <col min="10247" max="10247" width="1.7265625" style="112" customWidth="1"/>
    <col min="10248" max="10248" width="8" style="112" customWidth="1"/>
    <col min="10249" max="10249" width="1.7265625" style="112" customWidth="1"/>
    <col min="10250" max="10250" width="5.7265625" style="112" customWidth="1"/>
    <col min="10251" max="10251" width="3.7265625" style="112" customWidth="1"/>
    <col min="10252" max="10252" width="9.7265625" style="112" customWidth="1"/>
    <col min="10253" max="10253" width="11.1796875" style="112" customWidth="1"/>
    <col min="10254" max="10254" width="8.26953125" style="112" customWidth="1"/>
    <col min="10255" max="10255" width="10.1796875" style="112" customWidth="1"/>
    <col min="10256" max="10487" width="9.1796875" style="112"/>
    <col min="10488" max="10488" width="11.54296875" style="112" customWidth="1"/>
    <col min="10489" max="10489" width="9.1796875" style="112"/>
    <col min="10490" max="10490" width="18.7265625" style="112" customWidth="1"/>
    <col min="10491" max="10491" width="1.81640625" style="112" customWidth="1"/>
    <col min="10492" max="10492" width="8.26953125" style="112" customWidth="1"/>
    <col min="10493" max="10493" width="4.453125" style="112" customWidth="1"/>
    <col min="10494" max="10494" width="6.453125" style="112" customWidth="1"/>
    <col min="10495" max="10495" width="8.26953125" style="112" customWidth="1"/>
    <col min="10496" max="10496" width="6" style="112" customWidth="1"/>
    <col min="10497" max="10497" width="2.26953125" style="112" customWidth="1"/>
    <col min="10498" max="10498" width="3.26953125" style="112" customWidth="1"/>
    <col min="10499" max="10499" width="5.26953125" style="112" customWidth="1"/>
    <col min="10500" max="10501" width="7.54296875" style="112" customWidth="1"/>
    <col min="10502" max="10502" width="8.26953125" style="112" customWidth="1"/>
    <col min="10503" max="10503" width="1.7265625" style="112" customWidth="1"/>
    <col min="10504" max="10504" width="8" style="112" customWidth="1"/>
    <col min="10505" max="10505" width="1.7265625" style="112" customWidth="1"/>
    <col min="10506" max="10506" width="5.7265625" style="112" customWidth="1"/>
    <col min="10507" max="10507" width="3.7265625" style="112" customWidth="1"/>
    <col min="10508" max="10508" width="9.7265625" style="112" customWidth="1"/>
    <col min="10509" max="10509" width="11.1796875" style="112" customWidth="1"/>
    <col min="10510" max="10510" width="8.26953125" style="112" customWidth="1"/>
    <col min="10511" max="10511" width="10.1796875" style="112" customWidth="1"/>
    <col min="10512" max="10743" width="9.1796875" style="112"/>
    <col min="10744" max="10744" width="11.54296875" style="112" customWidth="1"/>
    <col min="10745" max="10745" width="9.1796875" style="112"/>
    <col min="10746" max="10746" width="18.7265625" style="112" customWidth="1"/>
    <col min="10747" max="10747" width="1.81640625" style="112" customWidth="1"/>
    <col min="10748" max="10748" width="8.26953125" style="112" customWidth="1"/>
    <col min="10749" max="10749" width="4.453125" style="112" customWidth="1"/>
    <col min="10750" max="10750" width="6.453125" style="112" customWidth="1"/>
    <col min="10751" max="10751" width="8.26953125" style="112" customWidth="1"/>
    <col min="10752" max="10752" width="6" style="112" customWidth="1"/>
    <col min="10753" max="10753" width="2.26953125" style="112" customWidth="1"/>
    <col min="10754" max="10754" width="3.26953125" style="112" customWidth="1"/>
    <col min="10755" max="10755" width="5.26953125" style="112" customWidth="1"/>
    <col min="10756" max="10757" width="7.54296875" style="112" customWidth="1"/>
    <col min="10758" max="10758" width="8.26953125" style="112" customWidth="1"/>
    <col min="10759" max="10759" width="1.7265625" style="112" customWidth="1"/>
    <col min="10760" max="10760" width="8" style="112" customWidth="1"/>
    <col min="10761" max="10761" width="1.7265625" style="112" customWidth="1"/>
    <col min="10762" max="10762" width="5.7265625" style="112" customWidth="1"/>
    <col min="10763" max="10763" width="3.7265625" style="112" customWidth="1"/>
    <col min="10764" max="10764" width="9.7265625" style="112" customWidth="1"/>
    <col min="10765" max="10765" width="11.1796875" style="112" customWidth="1"/>
    <col min="10766" max="10766" width="8.26953125" style="112" customWidth="1"/>
    <col min="10767" max="10767" width="10.1796875" style="112" customWidth="1"/>
    <col min="10768" max="10999" width="9.1796875" style="112"/>
    <col min="11000" max="11000" width="11.54296875" style="112" customWidth="1"/>
    <col min="11001" max="11001" width="9.1796875" style="112"/>
    <col min="11002" max="11002" width="18.7265625" style="112" customWidth="1"/>
    <col min="11003" max="11003" width="1.81640625" style="112" customWidth="1"/>
    <col min="11004" max="11004" width="8.26953125" style="112" customWidth="1"/>
    <col min="11005" max="11005" width="4.453125" style="112" customWidth="1"/>
    <col min="11006" max="11006" width="6.453125" style="112" customWidth="1"/>
    <col min="11007" max="11007" width="8.26953125" style="112" customWidth="1"/>
    <col min="11008" max="11008" width="6" style="112" customWidth="1"/>
    <col min="11009" max="11009" width="2.26953125" style="112" customWidth="1"/>
    <col min="11010" max="11010" width="3.26953125" style="112" customWidth="1"/>
    <col min="11011" max="11011" width="5.26953125" style="112" customWidth="1"/>
    <col min="11012" max="11013" width="7.54296875" style="112" customWidth="1"/>
    <col min="11014" max="11014" width="8.26953125" style="112" customWidth="1"/>
    <col min="11015" max="11015" width="1.7265625" style="112" customWidth="1"/>
    <col min="11016" max="11016" width="8" style="112" customWidth="1"/>
    <col min="11017" max="11017" width="1.7265625" style="112" customWidth="1"/>
    <col min="11018" max="11018" width="5.7265625" style="112" customWidth="1"/>
    <col min="11019" max="11019" width="3.7265625" style="112" customWidth="1"/>
    <col min="11020" max="11020" width="9.7265625" style="112" customWidth="1"/>
    <col min="11021" max="11021" width="11.1796875" style="112" customWidth="1"/>
    <col min="11022" max="11022" width="8.26953125" style="112" customWidth="1"/>
    <col min="11023" max="11023" width="10.1796875" style="112" customWidth="1"/>
    <col min="11024" max="11255" width="9.1796875" style="112"/>
    <col min="11256" max="11256" width="11.54296875" style="112" customWidth="1"/>
    <col min="11257" max="11257" width="9.1796875" style="112"/>
    <col min="11258" max="11258" width="18.7265625" style="112" customWidth="1"/>
    <col min="11259" max="11259" width="1.81640625" style="112" customWidth="1"/>
    <col min="11260" max="11260" width="8.26953125" style="112" customWidth="1"/>
    <col min="11261" max="11261" width="4.453125" style="112" customWidth="1"/>
    <col min="11262" max="11262" width="6.453125" style="112" customWidth="1"/>
    <col min="11263" max="11263" width="8.26953125" style="112" customWidth="1"/>
    <col min="11264" max="11264" width="6" style="112" customWidth="1"/>
    <col min="11265" max="11265" width="2.26953125" style="112" customWidth="1"/>
    <col min="11266" max="11266" width="3.26953125" style="112" customWidth="1"/>
    <col min="11267" max="11267" width="5.26953125" style="112" customWidth="1"/>
    <col min="11268" max="11269" width="7.54296875" style="112" customWidth="1"/>
    <col min="11270" max="11270" width="8.26953125" style="112" customWidth="1"/>
    <col min="11271" max="11271" width="1.7265625" style="112" customWidth="1"/>
    <col min="11272" max="11272" width="8" style="112" customWidth="1"/>
    <col min="11273" max="11273" width="1.7265625" style="112" customWidth="1"/>
    <col min="11274" max="11274" width="5.7265625" style="112" customWidth="1"/>
    <col min="11275" max="11275" width="3.7265625" style="112" customWidth="1"/>
    <col min="11276" max="11276" width="9.7265625" style="112" customWidth="1"/>
    <col min="11277" max="11277" width="11.1796875" style="112" customWidth="1"/>
    <col min="11278" max="11278" width="8.26953125" style="112" customWidth="1"/>
    <col min="11279" max="11279" width="10.1796875" style="112" customWidth="1"/>
    <col min="11280" max="11511" width="9.1796875" style="112"/>
    <col min="11512" max="11512" width="11.54296875" style="112" customWidth="1"/>
    <col min="11513" max="11513" width="9.1796875" style="112"/>
    <col min="11514" max="11514" width="18.7265625" style="112" customWidth="1"/>
    <col min="11515" max="11515" width="1.81640625" style="112" customWidth="1"/>
    <col min="11516" max="11516" width="8.26953125" style="112" customWidth="1"/>
    <col min="11517" max="11517" width="4.453125" style="112" customWidth="1"/>
    <col min="11518" max="11518" width="6.453125" style="112" customWidth="1"/>
    <col min="11519" max="11519" width="8.26953125" style="112" customWidth="1"/>
    <col min="11520" max="11520" width="6" style="112" customWidth="1"/>
    <col min="11521" max="11521" width="2.26953125" style="112" customWidth="1"/>
    <col min="11522" max="11522" width="3.26953125" style="112" customWidth="1"/>
    <col min="11523" max="11523" width="5.26953125" style="112" customWidth="1"/>
    <col min="11524" max="11525" width="7.54296875" style="112" customWidth="1"/>
    <col min="11526" max="11526" width="8.26953125" style="112" customWidth="1"/>
    <col min="11527" max="11527" width="1.7265625" style="112" customWidth="1"/>
    <col min="11528" max="11528" width="8" style="112" customWidth="1"/>
    <col min="11529" max="11529" width="1.7265625" style="112" customWidth="1"/>
    <col min="11530" max="11530" width="5.7265625" style="112" customWidth="1"/>
    <col min="11531" max="11531" width="3.7265625" style="112" customWidth="1"/>
    <col min="11532" max="11532" width="9.7265625" style="112" customWidth="1"/>
    <col min="11533" max="11533" width="11.1796875" style="112" customWidth="1"/>
    <col min="11534" max="11534" width="8.26953125" style="112" customWidth="1"/>
    <col min="11535" max="11535" width="10.1796875" style="112" customWidth="1"/>
    <col min="11536" max="11767" width="9.1796875" style="112"/>
    <col min="11768" max="11768" width="11.54296875" style="112" customWidth="1"/>
    <col min="11769" max="11769" width="9.1796875" style="112"/>
    <col min="11770" max="11770" width="18.7265625" style="112" customWidth="1"/>
    <col min="11771" max="11771" width="1.81640625" style="112" customWidth="1"/>
    <col min="11772" max="11772" width="8.26953125" style="112" customWidth="1"/>
    <col min="11773" max="11773" width="4.453125" style="112" customWidth="1"/>
    <col min="11774" max="11774" width="6.453125" style="112" customWidth="1"/>
    <col min="11775" max="11775" width="8.26953125" style="112" customWidth="1"/>
    <col min="11776" max="11776" width="6" style="112" customWidth="1"/>
    <col min="11777" max="11777" width="2.26953125" style="112" customWidth="1"/>
    <col min="11778" max="11778" width="3.26953125" style="112" customWidth="1"/>
    <col min="11779" max="11779" width="5.26953125" style="112" customWidth="1"/>
    <col min="11780" max="11781" width="7.54296875" style="112" customWidth="1"/>
    <col min="11782" max="11782" width="8.26953125" style="112" customWidth="1"/>
    <col min="11783" max="11783" width="1.7265625" style="112" customWidth="1"/>
    <col min="11784" max="11784" width="8" style="112" customWidth="1"/>
    <col min="11785" max="11785" width="1.7265625" style="112" customWidth="1"/>
    <col min="11786" max="11786" width="5.7265625" style="112" customWidth="1"/>
    <col min="11787" max="11787" width="3.7265625" style="112" customWidth="1"/>
    <col min="11788" max="11788" width="9.7265625" style="112" customWidth="1"/>
    <col min="11789" max="11789" width="11.1796875" style="112" customWidth="1"/>
    <col min="11790" max="11790" width="8.26953125" style="112" customWidth="1"/>
    <col min="11791" max="11791" width="10.1796875" style="112" customWidth="1"/>
    <col min="11792" max="12023" width="9.1796875" style="112"/>
    <col min="12024" max="12024" width="11.54296875" style="112" customWidth="1"/>
    <col min="12025" max="12025" width="9.1796875" style="112"/>
    <col min="12026" max="12026" width="18.7265625" style="112" customWidth="1"/>
    <col min="12027" max="12027" width="1.81640625" style="112" customWidth="1"/>
    <col min="12028" max="12028" width="8.26953125" style="112" customWidth="1"/>
    <col min="12029" max="12029" width="4.453125" style="112" customWidth="1"/>
    <col min="12030" max="12030" width="6.453125" style="112" customWidth="1"/>
    <col min="12031" max="12031" width="8.26953125" style="112" customWidth="1"/>
    <col min="12032" max="12032" width="6" style="112" customWidth="1"/>
    <col min="12033" max="12033" width="2.26953125" style="112" customWidth="1"/>
    <col min="12034" max="12034" width="3.26953125" style="112" customWidth="1"/>
    <col min="12035" max="12035" width="5.26953125" style="112" customWidth="1"/>
    <col min="12036" max="12037" width="7.54296875" style="112" customWidth="1"/>
    <col min="12038" max="12038" width="8.26953125" style="112" customWidth="1"/>
    <col min="12039" max="12039" width="1.7265625" style="112" customWidth="1"/>
    <col min="12040" max="12040" width="8" style="112" customWidth="1"/>
    <col min="12041" max="12041" width="1.7265625" style="112" customWidth="1"/>
    <col min="12042" max="12042" width="5.7265625" style="112" customWidth="1"/>
    <col min="12043" max="12043" width="3.7265625" style="112" customWidth="1"/>
    <col min="12044" max="12044" width="9.7265625" style="112" customWidth="1"/>
    <col min="12045" max="12045" width="11.1796875" style="112" customWidth="1"/>
    <col min="12046" max="12046" width="8.26953125" style="112" customWidth="1"/>
    <col min="12047" max="12047" width="10.1796875" style="112" customWidth="1"/>
    <col min="12048" max="12279" width="9.1796875" style="112"/>
    <col min="12280" max="12280" width="11.54296875" style="112" customWidth="1"/>
    <col min="12281" max="12281" width="9.1796875" style="112"/>
    <col min="12282" max="12282" width="18.7265625" style="112" customWidth="1"/>
    <col min="12283" max="12283" width="1.81640625" style="112" customWidth="1"/>
    <col min="12284" max="12284" width="8.26953125" style="112" customWidth="1"/>
    <col min="12285" max="12285" width="4.453125" style="112" customWidth="1"/>
    <col min="12286" max="12286" width="6.453125" style="112" customWidth="1"/>
    <col min="12287" max="12287" width="8.26953125" style="112" customWidth="1"/>
    <col min="12288" max="12288" width="6" style="112" customWidth="1"/>
    <col min="12289" max="12289" width="2.26953125" style="112" customWidth="1"/>
    <col min="12290" max="12290" width="3.26953125" style="112" customWidth="1"/>
    <col min="12291" max="12291" width="5.26953125" style="112" customWidth="1"/>
    <col min="12292" max="12293" width="7.54296875" style="112" customWidth="1"/>
    <col min="12294" max="12294" width="8.26953125" style="112" customWidth="1"/>
    <col min="12295" max="12295" width="1.7265625" style="112" customWidth="1"/>
    <col min="12296" max="12296" width="8" style="112" customWidth="1"/>
    <col min="12297" max="12297" width="1.7265625" style="112" customWidth="1"/>
    <col min="12298" max="12298" width="5.7265625" style="112" customWidth="1"/>
    <col min="12299" max="12299" width="3.7265625" style="112" customWidth="1"/>
    <col min="12300" max="12300" width="9.7265625" style="112" customWidth="1"/>
    <col min="12301" max="12301" width="11.1796875" style="112" customWidth="1"/>
    <col min="12302" max="12302" width="8.26953125" style="112" customWidth="1"/>
    <col min="12303" max="12303" width="10.1796875" style="112" customWidth="1"/>
    <col min="12304" max="12535" width="9.1796875" style="112"/>
    <col min="12536" max="12536" width="11.54296875" style="112" customWidth="1"/>
    <col min="12537" max="12537" width="9.1796875" style="112"/>
    <col min="12538" max="12538" width="18.7265625" style="112" customWidth="1"/>
    <col min="12539" max="12539" width="1.81640625" style="112" customWidth="1"/>
    <col min="12540" max="12540" width="8.26953125" style="112" customWidth="1"/>
    <col min="12541" max="12541" width="4.453125" style="112" customWidth="1"/>
    <col min="12542" max="12542" width="6.453125" style="112" customWidth="1"/>
    <col min="12543" max="12543" width="8.26953125" style="112" customWidth="1"/>
    <col min="12544" max="12544" width="6" style="112" customWidth="1"/>
    <col min="12545" max="12545" width="2.26953125" style="112" customWidth="1"/>
    <col min="12546" max="12546" width="3.26953125" style="112" customWidth="1"/>
    <col min="12547" max="12547" width="5.26953125" style="112" customWidth="1"/>
    <col min="12548" max="12549" width="7.54296875" style="112" customWidth="1"/>
    <col min="12550" max="12550" width="8.26953125" style="112" customWidth="1"/>
    <col min="12551" max="12551" width="1.7265625" style="112" customWidth="1"/>
    <col min="12552" max="12552" width="8" style="112" customWidth="1"/>
    <col min="12553" max="12553" width="1.7265625" style="112" customWidth="1"/>
    <col min="12554" max="12554" width="5.7265625" style="112" customWidth="1"/>
    <col min="12555" max="12555" width="3.7265625" style="112" customWidth="1"/>
    <col min="12556" max="12556" width="9.7265625" style="112" customWidth="1"/>
    <col min="12557" max="12557" width="11.1796875" style="112" customWidth="1"/>
    <col min="12558" max="12558" width="8.26953125" style="112" customWidth="1"/>
    <col min="12559" max="12559" width="10.1796875" style="112" customWidth="1"/>
    <col min="12560" max="12791" width="9.1796875" style="112"/>
    <col min="12792" max="12792" width="11.54296875" style="112" customWidth="1"/>
    <col min="12793" max="12793" width="9.1796875" style="112"/>
    <col min="12794" max="12794" width="18.7265625" style="112" customWidth="1"/>
    <col min="12795" max="12795" width="1.81640625" style="112" customWidth="1"/>
    <col min="12796" max="12796" width="8.26953125" style="112" customWidth="1"/>
    <col min="12797" max="12797" width="4.453125" style="112" customWidth="1"/>
    <col min="12798" max="12798" width="6.453125" style="112" customWidth="1"/>
    <col min="12799" max="12799" width="8.26953125" style="112" customWidth="1"/>
    <col min="12800" max="12800" width="6" style="112" customWidth="1"/>
    <col min="12801" max="12801" width="2.26953125" style="112" customWidth="1"/>
    <col min="12802" max="12802" width="3.26953125" style="112" customWidth="1"/>
    <col min="12803" max="12803" width="5.26953125" style="112" customWidth="1"/>
    <col min="12804" max="12805" width="7.54296875" style="112" customWidth="1"/>
    <col min="12806" max="12806" width="8.26953125" style="112" customWidth="1"/>
    <col min="12807" max="12807" width="1.7265625" style="112" customWidth="1"/>
    <col min="12808" max="12808" width="8" style="112" customWidth="1"/>
    <col min="12809" max="12809" width="1.7265625" style="112" customWidth="1"/>
    <col min="12810" max="12810" width="5.7265625" style="112" customWidth="1"/>
    <col min="12811" max="12811" width="3.7265625" style="112" customWidth="1"/>
    <col min="12812" max="12812" width="9.7265625" style="112" customWidth="1"/>
    <col min="12813" max="12813" width="11.1796875" style="112" customWidth="1"/>
    <col min="12814" max="12814" width="8.26953125" style="112" customWidth="1"/>
    <col min="12815" max="12815" width="10.1796875" style="112" customWidth="1"/>
    <col min="12816" max="13047" width="9.1796875" style="112"/>
    <col min="13048" max="13048" width="11.54296875" style="112" customWidth="1"/>
    <col min="13049" max="13049" width="9.1796875" style="112"/>
    <col min="13050" max="13050" width="18.7265625" style="112" customWidth="1"/>
    <col min="13051" max="13051" width="1.81640625" style="112" customWidth="1"/>
    <col min="13052" max="13052" width="8.26953125" style="112" customWidth="1"/>
    <col min="13053" max="13053" width="4.453125" style="112" customWidth="1"/>
    <col min="13054" max="13054" width="6.453125" style="112" customWidth="1"/>
    <col min="13055" max="13055" width="8.26953125" style="112" customWidth="1"/>
    <col min="13056" max="13056" width="6" style="112" customWidth="1"/>
    <col min="13057" max="13057" width="2.26953125" style="112" customWidth="1"/>
    <col min="13058" max="13058" width="3.26953125" style="112" customWidth="1"/>
    <col min="13059" max="13059" width="5.26953125" style="112" customWidth="1"/>
    <col min="13060" max="13061" width="7.54296875" style="112" customWidth="1"/>
    <col min="13062" max="13062" width="8.26953125" style="112" customWidth="1"/>
    <col min="13063" max="13063" width="1.7265625" style="112" customWidth="1"/>
    <col min="13064" max="13064" width="8" style="112" customWidth="1"/>
    <col min="13065" max="13065" width="1.7265625" style="112" customWidth="1"/>
    <col min="13066" max="13066" width="5.7265625" style="112" customWidth="1"/>
    <col min="13067" max="13067" width="3.7265625" style="112" customWidth="1"/>
    <col min="13068" max="13068" width="9.7265625" style="112" customWidth="1"/>
    <col min="13069" max="13069" width="11.1796875" style="112" customWidth="1"/>
    <col min="13070" max="13070" width="8.26953125" style="112" customWidth="1"/>
    <col min="13071" max="13071" width="10.1796875" style="112" customWidth="1"/>
    <col min="13072" max="13303" width="9.1796875" style="112"/>
    <col min="13304" max="13304" width="11.54296875" style="112" customWidth="1"/>
    <col min="13305" max="13305" width="9.1796875" style="112"/>
    <col min="13306" max="13306" width="18.7265625" style="112" customWidth="1"/>
    <col min="13307" max="13307" width="1.81640625" style="112" customWidth="1"/>
    <col min="13308" max="13308" width="8.26953125" style="112" customWidth="1"/>
    <col min="13309" max="13309" width="4.453125" style="112" customWidth="1"/>
    <col min="13310" max="13310" width="6.453125" style="112" customWidth="1"/>
    <col min="13311" max="13311" width="8.26953125" style="112" customWidth="1"/>
    <col min="13312" max="13312" width="6" style="112" customWidth="1"/>
    <col min="13313" max="13313" width="2.26953125" style="112" customWidth="1"/>
    <col min="13314" max="13314" width="3.26953125" style="112" customWidth="1"/>
    <col min="13315" max="13315" width="5.26953125" style="112" customWidth="1"/>
    <col min="13316" max="13317" width="7.54296875" style="112" customWidth="1"/>
    <col min="13318" max="13318" width="8.26953125" style="112" customWidth="1"/>
    <col min="13319" max="13319" width="1.7265625" style="112" customWidth="1"/>
    <col min="13320" max="13320" width="8" style="112" customWidth="1"/>
    <col min="13321" max="13321" width="1.7265625" style="112" customWidth="1"/>
    <col min="13322" max="13322" width="5.7265625" style="112" customWidth="1"/>
    <col min="13323" max="13323" width="3.7265625" style="112" customWidth="1"/>
    <col min="13324" max="13324" width="9.7265625" style="112" customWidth="1"/>
    <col min="13325" max="13325" width="11.1796875" style="112" customWidth="1"/>
    <col min="13326" max="13326" width="8.26953125" style="112" customWidth="1"/>
    <col min="13327" max="13327" width="10.1796875" style="112" customWidth="1"/>
    <col min="13328" max="13559" width="9.1796875" style="112"/>
    <col min="13560" max="13560" width="11.54296875" style="112" customWidth="1"/>
    <col min="13561" max="13561" width="9.1796875" style="112"/>
    <col min="13562" max="13562" width="18.7265625" style="112" customWidth="1"/>
    <col min="13563" max="13563" width="1.81640625" style="112" customWidth="1"/>
    <col min="13564" max="13564" width="8.26953125" style="112" customWidth="1"/>
    <col min="13565" max="13565" width="4.453125" style="112" customWidth="1"/>
    <col min="13566" max="13566" width="6.453125" style="112" customWidth="1"/>
    <col min="13567" max="13567" width="8.26953125" style="112" customWidth="1"/>
    <col min="13568" max="13568" width="6" style="112" customWidth="1"/>
    <col min="13569" max="13569" width="2.26953125" style="112" customWidth="1"/>
    <col min="13570" max="13570" width="3.26953125" style="112" customWidth="1"/>
    <col min="13571" max="13571" width="5.26953125" style="112" customWidth="1"/>
    <col min="13572" max="13573" width="7.54296875" style="112" customWidth="1"/>
    <col min="13574" max="13574" width="8.26953125" style="112" customWidth="1"/>
    <col min="13575" max="13575" width="1.7265625" style="112" customWidth="1"/>
    <col min="13576" max="13576" width="8" style="112" customWidth="1"/>
    <col min="13577" max="13577" width="1.7265625" style="112" customWidth="1"/>
    <col min="13578" max="13578" width="5.7265625" style="112" customWidth="1"/>
    <col min="13579" max="13579" width="3.7265625" style="112" customWidth="1"/>
    <col min="13580" max="13580" width="9.7265625" style="112" customWidth="1"/>
    <col min="13581" max="13581" width="11.1796875" style="112" customWidth="1"/>
    <col min="13582" max="13582" width="8.26953125" style="112" customWidth="1"/>
    <col min="13583" max="13583" width="10.1796875" style="112" customWidth="1"/>
    <col min="13584" max="13815" width="9.1796875" style="112"/>
    <col min="13816" max="13816" width="11.54296875" style="112" customWidth="1"/>
    <col min="13817" max="13817" width="9.1796875" style="112"/>
    <col min="13818" max="13818" width="18.7265625" style="112" customWidth="1"/>
    <col min="13819" max="13819" width="1.81640625" style="112" customWidth="1"/>
    <col min="13820" max="13820" width="8.26953125" style="112" customWidth="1"/>
    <col min="13821" max="13821" width="4.453125" style="112" customWidth="1"/>
    <col min="13822" max="13822" width="6.453125" style="112" customWidth="1"/>
    <col min="13823" max="13823" width="8.26953125" style="112" customWidth="1"/>
    <col min="13824" max="13824" width="6" style="112" customWidth="1"/>
    <col min="13825" max="13825" width="2.26953125" style="112" customWidth="1"/>
    <col min="13826" max="13826" width="3.26953125" style="112" customWidth="1"/>
    <col min="13827" max="13827" width="5.26953125" style="112" customWidth="1"/>
    <col min="13828" max="13829" width="7.54296875" style="112" customWidth="1"/>
    <col min="13830" max="13830" width="8.26953125" style="112" customWidth="1"/>
    <col min="13831" max="13831" width="1.7265625" style="112" customWidth="1"/>
    <col min="13832" max="13832" width="8" style="112" customWidth="1"/>
    <col min="13833" max="13833" width="1.7265625" style="112" customWidth="1"/>
    <col min="13834" max="13834" width="5.7265625" style="112" customWidth="1"/>
    <col min="13835" max="13835" width="3.7265625" style="112" customWidth="1"/>
    <col min="13836" max="13836" width="9.7265625" style="112" customWidth="1"/>
    <col min="13837" max="13837" width="11.1796875" style="112" customWidth="1"/>
    <col min="13838" max="13838" width="8.26953125" style="112" customWidth="1"/>
    <col min="13839" max="13839" width="10.1796875" style="112" customWidth="1"/>
    <col min="13840" max="14071" width="9.1796875" style="112"/>
    <col min="14072" max="14072" width="11.54296875" style="112" customWidth="1"/>
    <col min="14073" max="14073" width="9.1796875" style="112"/>
    <col min="14074" max="14074" width="18.7265625" style="112" customWidth="1"/>
    <col min="14075" max="14075" width="1.81640625" style="112" customWidth="1"/>
    <col min="14076" max="14076" width="8.26953125" style="112" customWidth="1"/>
    <col min="14077" max="14077" width="4.453125" style="112" customWidth="1"/>
    <col min="14078" max="14078" width="6.453125" style="112" customWidth="1"/>
    <col min="14079" max="14079" width="8.26953125" style="112" customWidth="1"/>
    <col min="14080" max="14080" width="6" style="112" customWidth="1"/>
    <col min="14081" max="14081" width="2.26953125" style="112" customWidth="1"/>
    <col min="14082" max="14082" width="3.26953125" style="112" customWidth="1"/>
    <col min="14083" max="14083" width="5.26953125" style="112" customWidth="1"/>
    <col min="14084" max="14085" width="7.54296875" style="112" customWidth="1"/>
    <col min="14086" max="14086" width="8.26953125" style="112" customWidth="1"/>
    <col min="14087" max="14087" width="1.7265625" style="112" customWidth="1"/>
    <col min="14088" max="14088" width="8" style="112" customWidth="1"/>
    <col min="14089" max="14089" width="1.7265625" style="112" customWidth="1"/>
    <col min="14090" max="14090" width="5.7265625" style="112" customWidth="1"/>
    <col min="14091" max="14091" width="3.7265625" style="112" customWidth="1"/>
    <col min="14092" max="14092" width="9.7265625" style="112" customWidth="1"/>
    <col min="14093" max="14093" width="11.1796875" style="112" customWidth="1"/>
    <col min="14094" max="14094" width="8.26953125" style="112" customWidth="1"/>
    <col min="14095" max="14095" width="10.1796875" style="112" customWidth="1"/>
    <col min="14096" max="14327" width="9.1796875" style="112"/>
    <col min="14328" max="14328" width="11.54296875" style="112" customWidth="1"/>
    <col min="14329" max="14329" width="9.1796875" style="112"/>
    <col min="14330" max="14330" width="18.7265625" style="112" customWidth="1"/>
    <col min="14331" max="14331" width="1.81640625" style="112" customWidth="1"/>
    <col min="14332" max="14332" width="8.26953125" style="112" customWidth="1"/>
    <col min="14333" max="14333" width="4.453125" style="112" customWidth="1"/>
    <col min="14334" max="14334" width="6.453125" style="112" customWidth="1"/>
    <col min="14335" max="14335" width="8.26953125" style="112" customWidth="1"/>
    <col min="14336" max="14336" width="6" style="112" customWidth="1"/>
    <col min="14337" max="14337" width="2.26953125" style="112" customWidth="1"/>
    <col min="14338" max="14338" width="3.26953125" style="112" customWidth="1"/>
    <col min="14339" max="14339" width="5.26953125" style="112" customWidth="1"/>
    <col min="14340" max="14341" width="7.54296875" style="112" customWidth="1"/>
    <col min="14342" max="14342" width="8.26953125" style="112" customWidth="1"/>
    <col min="14343" max="14343" width="1.7265625" style="112" customWidth="1"/>
    <col min="14344" max="14344" width="8" style="112" customWidth="1"/>
    <col min="14345" max="14345" width="1.7265625" style="112" customWidth="1"/>
    <col min="14346" max="14346" width="5.7265625" style="112" customWidth="1"/>
    <col min="14347" max="14347" width="3.7265625" style="112" customWidth="1"/>
    <col min="14348" max="14348" width="9.7265625" style="112" customWidth="1"/>
    <col min="14349" max="14349" width="11.1796875" style="112" customWidth="1"/>
    <col min="14350" max="14350" width="8.26953125" style="112" customWidth="1"/>
    <col min="14351" max="14351" width="10.1796875" style="112" customWidth="1"/>
    <col min="14352" max="14583" width="9.1796875" style="112"/>
    <col min="14584" max="14584" width="11.54296875" style="112" customWidth="1"/>
    <col min="14585" max="14585" width="9.1796875" style="112"/>
    <col min="14586" max="14586" width="18.7265625" style="112" customWidth="1"/>
    <col min="14587" max="14587" width="1.81640625" style="112" customWidth="1"/>
    <col min="14588" max="14588" width="8.26953125" style="112" customWidth="1"/>
    <col min="14589" max="14589" width="4.453125" style="112" customWidth="1"/>
    <col min="14590" max="14590" width="6.453125" style="112" customWidth="1"/>
    <col min="14591" max="14591" width="8.26953125" style="112" customWidth="1"/>
    <col min="14592" max="14592" width="6" style="112" customWidth="1"/>
    <col min="14593" max="14593" width="2.26953125" style="112" customWidth="1"/>
    <col min="14594" max="14594" width="3.26953125" style="112" customWidth="1"/>
    <col min="14595" max="14595" width="5.26953125" style="112" customWidth="1"/>
    <col min="14596" max="14597" width="7.54296875" style="112" customWidth="1"/>
    <col min="14598" max="14598" width="8.26953125" style="112" customWidth="1"/>
    <col min="14599" max="14599" width="1.7265625" style="112" customWidth="1"/>
    <col min="14600" max="14600" width="8" style="112" customWidth="1"/>
    <col min="14601" max="14601" width="1.7265625" style="112" customWidth="1"/>
    <col min="14602" max="14602" width="5.7265625" style="112" customWidth="1"/>
    <col min="14603" max="14603" width="3.7265625" style="112" customWidth="1"/>
    <col min="14604" max="14604" width="9.7265625" style="112" customWidth="1"/>
    <col min="14605" max="14605" width="11.1796875" style="112" customWidth="1"/>
    <col min="14606" max="14606" width="8.26953125" style="112" customWidth="1"/>
    <col min="14607" max="14607" width="10.1796875" style="112" customWidth="1"/>
    <col min="14608" max="14839" width="9.1796875" style="112"/>
    <col min="14840" max="14840" width="11.54296875" style="112" customWidth="1"/>
    <col min="14841" max="14841" width="9.1796875" style="112"/>
    <col min="14842" max="14842" width="18.7265625" style="112" customWidth="1"/>
    <col min="14843" max="14843" width="1.81640625" style="112" customWidth="1"/>
    <col min="14844" max="14844" width="8.26953125" style="112" customWidth="1"/>
    <col min="14845" max="14845" width="4.453125" style="112" customWidth="1"/>
    <col min="14846" max="14846" width="6.453125" style="112" customWidth="1"/>
    <col min="14847" max="14847" width="8.26953125" style="112" customWidth="1"/>
    <col min="14848" max="14848" width="6" style="112" customWidth="1"/>
    <col min="14849" max="14849" width="2.26953125" style="112" customWidth="1"/>
    <col min="14850" max="14850" width="3.26953125" style="112" customWidth="1"/>
    <col min="14851" max="14851" width="5.26953125" style="112" customWidth="1"/>
    <col min="14852" max="14853" width="7.54296875" style="112" customWidth="1"/>
    <col min="14854" max="14854" width="8.26953125" style="112" customWidth="1"/>
    <col min="14855" max="14855" width="1.7265625" style="112" customWidth="1"/>
    <col min="14856" max="14856" width="8" style="112" customWidth="1"/>
    <col min="14857" max="14857" width="1.7265625" style="112" customWidth="1"/>
    <col min="14858" max="14858" width="5.7265625" style="112" customWidth="1"/>
    <col min="14859" max="14859" width="3.7265625" style="112" customWidth="1"/>
    <col min="14860" max="14860" width="9.7265625" style="112" customWidth="1"/>
    <col min="14861" max="14861" width="11.1796875" style="112" customWidth="1"/>
    <col min="14862" max="14862" width="8.26953125" style="112" customWidth="1"/>
    <col min="14863" max="14863" width="10.1796875" style="112" customWidth="1"/>
    <col min="14864" max="15095" width="9.1796875" style="112"/>
    <col min="15096" max="15096" width="11.54296875" style="112" customWidth="1"/>
    <col min="15097" max="15097" width="9.1796875" style="112"/>
    <col min="15098" max="15098" width="18.7265625" style="112" customWidth="1"/>
    <col min="15099" max="15099" width="1.81640625" style="112" customWidth="1"/>
    <col min="15100" max="15100" width="8.26953125" style="112" customWidth="1"/>
    <col min="15101" max="15101" width="4.453125" style="112" customWidth="1"/>
    <col min="15102" max="15102" width="6.453125" style="112" customWidth="1"/>
    <col min="15103" max="15103" width="8.26953125" style="112" customWidth="1"/>
    <col min="15104" max="15104" width="6" style="112" customWidth="1"/>
    <col min="15105" max="15105" width="2.26953125" style="112" customWidth="1"/>
    <col min="15106" max="15106" width="3.26953125" style="112" customWidth="1"/>
    <col min="15107" max="15107" width="5.26953125" style="112" customWidth="1"/>
    <col min="15108" max="15109" width="7.54296875" style="112" customWidth="1"/>
    <col min="15110" max="15110" width="8.26953125" style="112" customWidth="1"/>
    <col min="15111" max="15111" width="1.7265625" style="112" customWidth="1"/>
    <col min="15112" max="15112" width="8" style="112" customWidth="1"/>
    <col min="15113" max="15113" width="1.7265625" style="112" customWidth="1"/>
    <col min="15114" max="15114" width="5.7265625" style="112" customWidth="1"/>
    <col min="15115" max="15115" width="3.7265625" style="112" customWidth="1"/>
    <col min="15116" max="15116" width="9.7265625" style="112" customWidth="1"/>
    <col min="15117" max="15117" width="11.1796875" style="112" customWidth="1"/>
    <col min="15118" max="15118" width="8.26953125" style="112" customWidth="1"/>
    <col min="15119" max="15119" width="10.1796875" style="112" customWidth="1"/>
    <col min="15120" max="15351" width="9.1796875" style="112"/>
    <col min="15352" max="15352" width="11.54296875" style="112" customWidth="1"/>
    <col min="15353" max="15353" width="9.1796875" style="112"/>
    <col min="15354" max="15354" width="18.7265625" style="112" customWidth="1"/>
    <col min="15355" max="15355" width="1.81640625" style="112" customWidth="1"/>
    <col min="15356" max="15356" width="8.26953125" style="112" customWidth="1"/>
    <col min="15357" max="15357" width="4.453125" style="112" customWidth="1"/>
    <col min="15358" max="15358" width="6.453125" style="112" customWidth="1"/>
    <col min="15359" max="15359" width="8.26953125" style="112" customWidth="1"/>
    <col min="15360" max="15360" width="6" style="112" customWidth="1"/>
    <col min="15361" max="15361" width="2.26953125" style="112" customWidth="1"/>
    <col min="15362" max="15362" width="3.26953125" style="112" customWidth="1"/>
    <col min="15363" max="15363" width="5.26953125" style="112" customWidth="1"/>
    <col min="15364" max="15365" width="7.54296875" style="112" customWidth="1"/>
    <col min="15366" max="15366" width="8.26953125" style="112" customWidth="1"/>
    <col min="15367" max="15367" width="1.7265625" style="112" customWidth="1"/>
    <col min="15368" max="15368" width="8" style="112" customWidth="1"/>
    <col min="15369" max="15369" width="1.7265625" style="112" customWidth="1"/>
    <col min="15370" max="15370" width="5.7265625" style="112" customWidth="1"/>
    <col min="15371" max="15371" width="3.7265625" style="112" customWidth="1"/>
    <col min="15372" max="15372" width="9.7265625" style="112" customWidth="1"/>
    <col min="15373" max="15373" width="11.1796875" style="112" customWidth="1"/>
    <col min="15374" max="15374" width="8.26953125" style="112" customWidth="1"/>
    <col min="15375" max="15375" width="10.1796875" style="112" customWidth="1"/>
    <col min="15376" max="15607" width="9.1796875" style="112"/>
    <col min="15608" max="15608" width="11.54296875" style="112" customWidth="1"/>
    <col min="15609" max="15609" width="9.1796875" style="112"/>
    <col min="15610" max="15610" width="18.7265625" style="112" customWidth="1"/>
    <col min="15611" max="15611" width="1.81640625" style="112" customWidth="1"/>
    <col min="15612" max="15612" width="8.26953125" style="112" customWidth="1"/>
    <col min="15613" max="15613" width="4.453125" style="112" customWidth="1"/>
    <col min="15614" max="15614" width="6.453125" style="112" customWidth="1"/>
    <col min="15615" max="15615" width="8.26953125" style="112" customWidth="1"/>
    <col min="15616" max="15616" width="6" style="112" customWidth="1"/>
    <col min="15617" max="15617" width="2.26953125" style="112" customWidth="1"/>
    <col min="15618" max="15618" width="3.26953125" style="112" customWidth="1"/>
    <col min="15619" max="15619" width="5.26953125" style="112" customWidth="1"/>
    <col min="15620" max="15621" width="7.54296875" style="112" customWidth="1"/>
    <col min="15622" max="15622" width="8.26953125" style="112" customWidth="1"/>
    <col min="15623" max="15623" width="1.7265625" style="112" customWidth="1"/>
    <col min="15624" max="15624" width="8" style="112" customWidth="1"/>
    <col min="15625" max="15625" width="1.7265625" style="112" customWidth="1"/>
    <col min="15626" max="15626" width="5.7265625" style="112" customWidth="1"/>
    <col min="15627" max="15627" width="3.7265625" style="112" customWidth="1"/>
    <col min="15628" max="15628" width="9.7265625" style="112" customWidth="1"/>
    <col min="15629" max="15629" width="11.1796875" style="112" customWidth="1"/>
    <col min="15630" max="15630" width="8.26953125" style="112" customWidth="1"/>
    <col min="15631" max="15631" width="10.1796875" style="112" customWidth="1"/>
    <col min="15632" max="15863" width="9.1796875" style="112"/>
    <col min="15864" max="15864" width="11.54296875" style="112" customWidth="1"/>
    <col min="15865" max="15865" width="9.1796875" style="112"/>
    <col min="15866" max="15866" width="18.7265625" style="112" customWidth="1"/>
    <col min="15867" max="15867" width="1.81640625" style="112" customWidth="1"/>
    <col min="15868" max="15868" width="8.26953125" style="112" customWidth="1"/>
    <col min="15869" max="15869" width="4.453125" style="112" customWidth="1"/>
    <col min="15870" max="15870" width="6.453125" style="112" customWidth="1"/>
    <col min="15871" max="15871" width="8.26953125" style="112" customWidth="1"/>
    <col min="15872" max="15872" width="6" style="112" customWidth="1"/>
    <col min="15873" max="15873" width="2.26953125" style="112" customWidth="1"/>
    <col min="15874" max="15874" width="3.26953125" style="112" customWidth="1"/>
    <col min="15875" max="15875" width="5.26953125" style="112" customWidth="1"/>
    <col min="15876" max="15877" width="7.54296875" style="112" customWidth="1"/>
    <col min="15878" max="15878" width="8.26953125" style="112" customWidth="1"/>
    <col min="15879" max="15879" width="1.7265625" style="112" customWidth="1"/>
    <col min="15880" max="15880" width="8" style="112" customWidth="1"/>
    <col min="15881" max="15881" width="1.7265625" style="112" customWidth="1"/>
    <col min="15882" max="15882" width="5.7265625" style="112" customWidth="1"/>
    <col min="15883" max="15883" width="3.7265625" style="112" customWidth="1"/>
    <col min="15884" max="15884" width="9.7265625" style="112" customWidth="1"/>
    <col min="15885" max="15885" width="11.1796875" style="112" customWidth="1"/>
    <col min="15886" max="15886" width="8.26953125" style="112" customWidth="1"/>
    <col min="15887" max="15887" width="10.1796875" style="112" customWidth="1"/>
    <col min="15888" max="16119" width="9.1796875" style="112"/>
    <col min="16120" max="16120" width="11.54296875" style="112" customWidth="1"/>
    <col min="16121" max="16121" width="9.1796875" style="112"/>
    <col min="16122" max="16122" width="18.7265625" style="112" customWidth="1"/>
    <col min="16123" max="16123" width="1.81640625" style="112" customWidth="1"/>
    <col min="16124" max="16124" width="8.26953125" style="112" customWidth="1"/>
    <col min="16125" max="16125" width="4.453125" style="112" customWidth="1"/>
    <col min="16126" max="16126" width="6.453125" style="112" customWidth="1"/>
    <col min="16127" max="16127" width="8.26953125" style="112" customWidth="1"/>
    <col min="16128" max="16128" width="6" style="112" customWidth="1"/>
    <col min="16129" max="16129" width="2.26953125" style="112" customWidth="1"/>
    <col min="16130" max="16130" width="3.26953125" style="112" customWidth="1"/>
    <col min="16131" max="16131" width="5.26953125" style="112" customWidth="1"/>
    <col min="16132" max="16133" width="7.54296875" style="112" customWidth="1"/>
    <col min="16134" max="16134" width="8.26953125" style="112" customWidth="1"/>
    <col min="16135" max="16135" width="1.7265625" style="112" customWidth="1"/>
    <col min="16136" max="16136" width="8" style="112" customWidth="1"/>
    <col min="16137" max="16137" width="1.7265625" style="112" customWidth="1"/>
    <col min="16138" max="16138" width="5.7265625" style="112" customWidth="1"/>
    <col min="16139" max="16139" width="3.7265625" style="112" customWidth="1"/>
    <col min="16140" max="16140" width="9.7265625" style="112" customWidth="1"/>
    <col min="16141" max="16141" width="11.1796875" style="112" customWidth="1"/>
    <col min="16142" max="16142" width="8.26953125" style="112" customWidth="1"/>
    <col min="16143" max="16143" width="10.1796875" style="112" customWidth="1"/>
    <col min="16144" max="16384" width="9.1796875" style="112"/>
  </cols>
  <sheetData>
    <row r="1" spans="1:22" x14ac:dyDescent="0.35">
      <c r="A1" s="111"/>
      <c r="E1" s="112" t="s">
        <v>142</v>
      </c>
    </row>
    <row r="2" spans="1:22" ht="18" x14ac:dyDescent="0.35">
      <c r="A2" s="112" t="s">
        <v>147</v>
      </c>
      <c r="C2" s="114" t="s">
        <v>19</v>
      </c>
      <c r="D2" s="112" t="s">
        <v>148</v>
      </c>
      <c r="K2" s="112" t="s">
        <v>149</v>
      </c>
      <c r="P2" s="115"/>
      <c r="Q2" s="212" t="s">
        <v>150</v>
      </c>
      <c r="R2" s="212"/>
      <c r="S2" s="212"/>
      <c r="T2" s="275" t="s">
        <v>151</v>
      </c>
      <c r="U2" s="275"/>
      <c r="V2" s="275"/>
    </row>
    <row r="3" spans="1:22" ht="18" x14ac:dyDescent="0.35">
      <c r="A3" s="112" t="s">
        <v>152</v>
      </c>
      <c r="C3" s="114"/>
      <c r="D3" s="112" t="s">
        <v>153</v>
      </c>
      <c r="P3" s="115"/>
      <c r="Q3" s="215" t="s">
        <v>154</v>
      </c>
      <c r="R3" s="215"/>
      <c r="S3" s="215"/>
    </row>
    <row r="4" spans="1:22" x14ac:dyDescent="0.35">
      <c r="P4" s="115"/>
    </row>
    <row r="5" spans="1:22" s="117" customFormat="1" ht="17.5" x14ac:dyDescent="0.35">
      <c r="B5" s="117" t="s">
        <v>155</v>
      </c>
      <c r="D5" s="118"/>
      <c r="E5" s="118"/>
      <c r="F5" s="118"/>
      <c r="G5" s="117" t="s">
        <v>156</v>
      </c>
      <c r="H5" s="276"/>
      <c r="I5" s="276"/>
      <c r="J5" s="276"/>
      <c r="K5" s="276"/>
      <c r="L5" s="276"/>
      <c r="M5" s="117" t="s">
        <v>157</v>
      </c>
      <c r="O5" s="119"/>
      <c r="P5" s="277" t="s">
        <v>158</v>
      </c>
      <c r="Q5" s="278"/>
      <c r="R5" s="278"/>
      <c r="S5" s="278"/>
      <c r="T5" s="278"/>
      <c r="U5" s="278"/>
      <c r="V5" s="278"/>
    </row>
    <row r="6" spans="1:22" s="117" customFormat="1" ht="46.5" customHeight="1" x14ac:dyDescent="0.4">
      <c r="A6" s="112" t="s">
        <v>159</v>
      </c>
      <c r="B6" s="112"/>
      <c r="C6" s="263"/>
      <c r="D6" s="263"/>
      <c r="E6" s="263"/>
      <c r="F6" s="263"/>
      <c r="G6" s="263"/>
      <c r="H6" s="263"/>
      <c r="I6" s="264" t="s">
        <v>160</v>
      </c>
      <c r="J6" s="264"/>
      <c r="K6" s="264"/>
      <c r="L6" s="264"/>
      <c r="M6" s="261"/>
      <c r="N6" s="261"/>
      <c r="O6" s="262"/>
      <c r="P6" s="277"/>
      <c r="Q6" s="278"/>
      <c r="R6" s="278"/>
      <c r="S6" s="278"/>
      <c r="T6" s="278"/>
      <c r="U6" s="278"/>
      <c r="V6" s="278"/>
    </row>
    <row r="7" spans="1:22" s="117" customFormat="1" ht="15" customHeight="1" x14ac:dyDescent="0.4">
      <c r="A7" s="112"/>
      <c r="B7" s="112"/>
      <c r="C7" s="263"/>
      <c r="D7" s="263"/>
      <c r="E7" s="263"/>
      <c r="F7" s="263"/>
      <c r="G7" s="263"/>
      <c r="H7" s="263"/>
      <c r="I7" s="264" t="s">
        <v>160</v>
      </c>
      <c r="J7" s="264"/>
      <c r="K7" s="264"/>
      <c r="L7" s="264"/>
      <c r="M7" s="261"/>
      <c r="N7" s="261"/>
      <c r="O7" s="262"/>
      <c r="P7" s="120"/>
      <c r="Q7" s="121"/>
      <c r="R7" s="121"/>
      <c r="S7" s="122"/>
      <c r="T7" s="122"/>
      <c r="U7" s="122"/>
      <c r="V7" s="123"/>
    </row>
    <row r="8" spans="1:22" x14ac:dyDescent="0.35">
      <c r="A8" s="124" t="s">
        <v>161</v>
      </c>
      <c r="B8" s="260" t="s">
        <v>162</v>
      </c>
      <c r="C8" s="265"/>
      <c r="D8" s="266" t="s">
        <v>142</v>
      </c>
      <c r="E8" s="267"/>
      <c r="F8" s="267"/>
      <c r="G8" s="267"/>
      <c r="H8" s="267"/>
      <c r="I8" s="267"/>
      <c r="J8" s="267"/>
      <c r="K8" s="267"/>
      <c r="L8" s="268"/>
      <c r="M8" s="272" t="s">
        <v>142</v>
      </c>
      <c r="N8" s="273"/>
      <c r="O8" s="273"/>
      <c r="P8" s="249" t="s">
        <v>163</v>
      </c>
      <c r="Q8" s="250"/>
      <c r="R8" s="250"/>
      <c r="S8" s="251" t="s">
        <v>142</v>
      </c>
      <c r="T8" s="251"/>
      <c r="U8" s="251"/>
      <c r="V8" s="252"/>
    </row>
    <row r="9" spans="1:22" ht="3" customHeight="1" x14ac:dyDescent="0.35">
      <c r="A9" s="253" t="s">
        <v>164</v>
      </c>
      <c r="B9" s="260"/>
      <c r="C9" s="265"/>
      <c r="D9" s="269"/>
      <c r="E9" s="270"/>
      <c r="F9" s="270"/>
      <c r="G9" s="270"/>
      <c r="H9" s="270"/>
      <c r="I9" s="270"/>
      <c r="J9" s="270"/>
      <c r="K9" s="270"/>
      <c r="L9" s="271"/>
      <c r="M9" s="274"/>
      <c r="N9" s="262"/>
      <c r="O9" s="262"/>
      <c r="P9" s="254" t="s">
        <v>165</v>
      </c>
      <c r="Q9" s="255"/>
      <c r="R9" s="255"/>
      <c r="S9" s="256" t="s">
        <v>142</v>
      </c>
      <c r="T9" s="256"/>
      <c r="U9" s="256"/>
      <c r="V9" s="257"/>
    </row>
    <row r="10" spans="1:22" x14ac:dyDescent="0.35">
      <c r="A10" s="253"/>
      <c r="B10" s="260"/>
      <c r="P10" s="254"/>
      <c r="Q10" s="255"/>
      <c r="R10" s="255"/>
      <c r="S10" s="256"/>
      <c r="T10" s="256"/>
      <c r="U10" s="256"/>
      <c r="V10" s="257"/>
    </row>
    <row r="11" spans="1:22" s="125" customFormat="1" ht="18" x14ac:dyDescent="0.4">
      <c r="A11" s="258" t="s">
        <v>166</v>
      </c>
      <c r="B11" s="258"/>
      <c r="C11" s="258"/>
      <c r="D11" s="258"/>
      <c r="E11" s="259"/>
      <c r="F11" s="259"/>
      <c r="G11" s="259"/>
      <c r="H11" s="259"/>
      <c r="I11" s="259"/>
      <c r="J11" s="259"/>
      <c r="K11" s="259"/>
      <c r="L11" s="260" t="s">
        <v>167</v>
      </c>
      <c r="M11" s="260"/>
      <c r="N11" s="261"/>
      <c r="O11" s="262"/>
      <c r="P11" s="126"/>
      <c r="S11" s="256"/>
      <c r="T11" s="256"/>
      <c r="U11" s="256"/>
      <c r="V11" s="257"/>
    </row>
    <row r="12" spans="1:22" x14ac:dyDescent="0.35">
      <c r="P12" s="127"/>
      <c r="Q12" s="128"/>
      <c r="R12" s="128"/>
      <c r="S12" s="256"/>
      <c r="T12" s="256"/>
      <c r="U12" s="256"/>
      <c r="V12" s="257"/>
    </row>
    <row r="13" spans="1:22" s="135" customFormat="1" ht="18" x14ac:dyDescent="0.35">
      <c r="A13" s="241" t="s">
        <v>168</v>
      </c>
      <c r="B13" s="129"/>
      <c r="C13" s="130" t="s">
        <v>169</v>
      </c>
      <c r="D13" s="131"/>
      <c r="E13" s="132"/>
      <c r="F13" s="133" t="s">
        <v>170</v>
      </c>
      <c r="G13" s="134"/>
      <c r="H13" s="242" t="s">
        <v>171</v>
      </c>
      <c r="I13" s="243" t="s">
        <v>172</v>
      </c>
      <c r="J13" s="243"/>
      <c r="K13" s="243"/>
      <c r="L13" s="243"/>
      <c r="M13" s="243"/>
      <c r="N13" s="243"/>
      <c r="O13" s="243"/>
      <c r="P13" s="244" t="s">
        <v>173</v>
      </c>
      <c r="Q13" s="244"/>
      <c r="R13" s="244"/>
      <c r="S13" s="244"/>
      <c r="T13" s="244"/>
      <c r="U13" s="244"/>
      <c r="V13" s="245" t="s">
        <v>174</v>
      </c>
    </row>
    <row r="14" spans="1:22" s="135" customFormat="1" ht="13" x14ac:dyDescent="0.35">
      <c r="A14" s="241"/>
      <c r="B14" s="246" t="s">
        <v>175</v>
      </c>
      <c r="C14" s="246"/>
      <c r="D14" s="246"/>
      <c r="E14" s="246"/>
      <c r="F14" s="246"/>
      <c r="G14" s="246"/>
      <c r="H14" s="242"/>
      <c r="I14" s="245" t="s">
        <v>176</v>
      </c>
      <c r="J14" s="245"/>
      <c r="K14" s="245" t="s">
        <v>177</v>
      </c>
      <c r="L14" s="245"/>
      <c r="M14" s="245" t="s">
        <v>178</v>
      </c>
      <c r="N14" s="245" t="s">
        <v>179</v>
      </c>
      <c r="O14" s="247" t="s">
        <v>180</v>
      </c>
      <c r="P14" s="248" t="s">
        <v>176</v>
      </c>
      <c r="Q14" s="248"/>
      <c r="R14" s="245" t="s">
        <v>181</v>
      </c>
      <c r="S14" s="245"/>
      <c r="T14" s="245"/>
      <c r="U14" s="245" t="s">
        <v>180</v>
      </c>
      <c r="V14" s="245"/>
    </row>
    <row r="15" spans="1:22" s="135" customFormat="1" ht="54.5" customHeight="1" x14ac:dyDescent="0.35">
      <c r="A15" s="241"/>
      <c r="B15" s="136"/>
      <c r="C15" s="137"/>
      <c r="D15" s="137"/>
      <c r="E15" s="137"/>
      <c r="F15" s="137"/>
      <c r="G15" s="138"/>
      <c r="H15" s="242"/>
      <c r="I15" s="245"/>
      <c r="J15" s="245"/>
      <c r="K15" s="245"/>
      <c r="L15" s="245"/>
      <c r="M15" s="245"/>
      <c r="N15" s="245"/>
      <c r="O15" s="247"/>
      <c r="P15" s="248"/>
      <c r="Q15" s="248"/>
      <c r="R15" s="245"/>
      <c r="S15" s="245"/>
      <c r="T15" s="245"/>
      <c r="U15" s="245"/>
      <c r="V15" s="245"/>
    </row>
    <row r="16" spans="1:22" s="141" customFormat="1" x14ac:dyDescent="0.35">
      <c r="A16" s="139">
        <v>1</v>
      </c>
      <c r="B16" s="240">
        <v>2</v>
      </c>
      <c r="C16" s="240"/>
      <c r="D16" s="240"/>
      <c r="E16" s="240"/>
      <c r="F16" s="240"/>
      <c r="G16" s="240"/>
      <c r="H16" s="139">
        <v>3</v>
      </c>
      <c r="I16" s="231">
        <v>4</v>
      </c>
      <c r="J16" s="231"/>
      <c r="K16" s="231">
        <v>5</v>
      </c>
      <c r="L16" s="231"/>
      <c r="M16" s="139">
        <v>6</v>
      </c>
      <c r="N16" s="139">
        <v>7</v>
      </c>
      <c r="O16" s="140">
        <v>8</v>
      </c>
      <c r="P16" s="230">
        <v>9</v>
      </c>
      <c r="Q16" s="230"/>
      <c r="R16" s="231">
        <v>10</v>
      </c>
      <c r="S16" s="231"/>
      <c r="T16" s="231"/>
      <c r="U16" s="139">
        <v>11</v>
      </c>
      <c r="V16" s="139">
        <v>12</v>
      </c>
    </row>
    <row r="17" spans="1:25" s="142" customFormat="1" ht="31" customHeight="1" x14ac:dyDescent="0.35">
      <c r="A17" s="139"/>
      <c r="B17" s="229">
        <f>C6</f>
        <v>0</v>
      </c>
      <c r="C17" s="229"/>
      <c r="D17" s="229"/>
      <c r="E17" s="229"/>
      <c r="F17" s="229"/>
      <c r="G17" s="229"/>
      <c r="H17" s="229"/>
      <c r="I17" s="229"/>
      <c r="J17" s="229"/>
      <c r="K17" s="229"/>
      <c r="L17" s="229"/>
      <c r="M17" s="229"/>
      <c r="N17" s="229"/>
      <c r="O17" s="229"/>
      <c r="P17" s="230"/>
      <c r="Q17" s="230"/>
      <c r="R17" s="231"/>
      <c r="S17" s="231"/>
      <c r="T17" s="231"/>
      <c r="U17" s="139"/>
      <c r="V17" s="139"/>
    </row>
    <row r="18" spans="1:25" s="142" customFormat="1" ht="31" customHeight="1" x14ac:dyDescent="0.35">
      <c r="A18" s="143"/>
      <c r="B18" s="232"/>
      <c r="C18" s="232"/>
      <c r="D18" s="232"/>
      <c r="E18" s="232"/>
      <c r="F18" s="232"/>
      <c r="G18" s="232"/>
      <c r="H18" s="232"/>
      <c r="I18" s="232"/>
      <c r="J18" s="232"/>
      <c r="K18" s="232"/>
      <c r="L18" s="232"/>
      <c r="M18" s="232"/>
      <c r="N18" s="232"/>
      <c r="O18" s="232"/>
      <c r="P18" s="144"/>
      <c r="Q18" s="145"/>
      <c r="R18" s="140"/>
      <c r="S18" s="146"/>
      <c r="T18" s="145"/>
      <c r="U18" s="143"/>
      <c r="V18" s="139"/>
    </row>
    <row r="19" spans="1:25" s="142" customFormat="1" ht="46.5" customHeight="1" x14ac:dyDescent="0.35">
      <c r="A19" s="147"/>
      <c r="B19" s="233"/>
      <c r="C19" s="234"/>
      <c r="D19" s="234"/>
      <c r="E19" s="234"/>
      <c r="F19" s="234"/>
      <c r="G19" s="235"/>
      <c r="H19" s="148"/>
      <c r="I19" s="236"/>
      <c r="J19" s="237"/>
      <c r="K19" s="238"/>
      <c r="L19" s="239"/>
      <c r="M19" s="186">
        <f>ROUND(I19*K19,3)</f>
        <v>0</v>
      </c>
      <c r="N19" s="186" t="e">
        <f>ROUND(M19*$E$13/I19,3)</f>
        <v>#DIV/0!</v>
      </c>
      <c r="O19" s="150" t="e">
        <f>ROUND(I19*N19,2)</f>
        <v>#DIV/0!</v>
      </c>
      <c r="P19" s="225">
        <f t="shared" ref="P19" si="0">I19</f>
        <v>0</v>
      </c>
      <c r="Q19" s="226"/>
      <c r="R19" s="227">
        <f>M19</f>
        <v>0</v>
      </c>
      <c r="S19" s="228"/>
      <c r="T19" s="226"/>
      <c r="U19" s="152" t="e">
        <f t="shared" ref="U19" si="1">O19</f>
        <v>#DIV/0!</v>
      </c>
      <c r="V19" s="153"/>
    </row>
    <row r="20" spans="1:25" s="162" customFormat="1" ht="12.5" x14ac:dyDescent="0.25">
      <c r="A20" s="154"/>
      <c r="B20" s="219"/>
      <c r="C20" s="219"/>
      <c r="D20" s="219"/>
      <c r="E20" s="219"/>
      <c r="F20" s="219"/>
      <c r="G20" s="219"/>
      <c r="H20" s="156" t="s">
        <v>182</v>
      </c>
      <c r="I20" s="157"/>
      <c r="J20" s="158"/>
      <c r="K20" s="157"/>
      <c r="L20" s="158"/>
      <c r="M20" s="155"/>
      <c r="N20" s="155"/>
      <c r="O20" s="159"/>
      <c r="P20" s="220"/>
      <c r="Q20" s="220"/>
      <c r="R20" s="221">
        <f>SUM(R19:R19)</f>
        <v>0</v>
      </c>
      <c r="S20" s="221"/>
      <c r="T20" s="221"/>
      <c r="U20" s="160" t="e">
        <f>SUM(U19)</f>
        <v>#DIV/0!</v>
      </c>
      <c r="V20" s="161"/>
    </row>
    <row r="21" spans="1:25" s="142" customFormat="1" x14ac:dyDescent="0.35">
      <c r="A21" s="147"/>
      <c r="B21" s="222"/>
      <c r="C21" s="222"/>
      <c r="D21" s="222"/>
      <c r="E21" s="222"/>
      <c r="F21" s="222"/>
      <c r="G21" s="222"/>
      <c r="H21" s="148"/>
      <c r="I21" s="223"/>
      <c r="J21" s="223"/>
      <c r="K21" s="224"/>
      <c r="L21" s="224"/>
      <c r="M21" s="149"/>
      <c r="N21" s="149"/>
      <c r="O21" s="151"/>
      <c r="P21" s="225"/>
      <c r="Q21" s="226"/>
      <c r="R21" s="227"/>
      <c r="S21" s="228"/>
      <c r="T21" s="226"/>
      <c r="U21" s="163"/>
      <c r="V21" s="153"/>
    </row>
    <row r="22" spans="1:25" x14ac:dyDescent="0.35">
      <c r="B22" s="209" t="s">
        <v>183</v>
      </c>
      <c r="C22" s="209"/>
      <c r="D22" s="112" t="s">
        <v>184</v>
      </c>
      <c r="H22" s="210"/>
      <c r="I22" s="210"/>
      <c r="J22" s="210"/>
      <c r="K22" s="210"/>
      <c r="L22" s="164" t="s">
        <v>185</v>
      </c>
      <c r="O22" s="128" t="s">
        <v>186</v>
      </c>
      <c r="P22" s="128"/>
      <c r="Q22" s="128"/>
      <c r="R22" s="128"/>
      <c r="S22" s="128"/>
      <c r="T22" s="128"/>
      <c r="U22" s="165"/>
      <c r="V22" s="167"/>
    </row>
    <row r="23" spans="1:25" x14ac:dyDescent="0.35">
      <c r="B23" s="209"/>
      <c r="C23" s="209"/>
      <c r="D23" s="112" t="s">
        <v>187</v>
      </c>
      <c r="H23" s="211"/>
      <c r="I23" s="211"/>
      <c r="J23" s="211"/>
      <c r="K23" s="211"/>
      <c r="L23" s="115"/>
      <c r="O23" s="112" t="s">
        <v>188</v>
      </c>
    </row>
    <row r="24" spans="1:25" x14ac:dyDescent="0.35">
      <c r="A24" s="112" t="s">
        <v>189</v>
      </c>
      <c r="C24" s="128"/>
      <c r="D24" s="212"/>
      <c r="E24" s="212"/>
      <c r="F24" s="212"/>
      <c r="G24" s="212"/>
      <c r="H24" s="212"/>
      <c r="I24" s="212"/>
      <c r="J24" s="212"/>
      <c r="K24" s="212"/>
      <c r="L24" s="115" t="s">
        <v>202</v>
      </c>
      <c r="R24" s="217" t="s">
        <v>12</v>
      </c>
      <c r="S24" s="217"/>
      <c r="T24" s="217"/>
      <c r="V24" s="167"/>
    </row>
    <row r="25" spans="1:25" ht="18" customHeight="1" x14ac:dyDescent="0.4">
      <c r="A25" s="116"/>
      <c r="B25" s="116"/>
      <c r="C25" s="116"/>
      <c r="D25" s="116"/>
      <c r="E25" s="116"/>
      <c r="F25" s="116"/>
      <c r="G25" s="116"/>
      <c r="H25" s="116"/>
      <c r="I25" s="116"/>
      <c r="J25" s="116"/>
      <c r="K25" s="116"/>
      <c r="L25" s="115" t="s">
        <v>190</v>
      </c>
      <c r="O25" s="116"/>
      <c r="P25" s="128"/>
      <c r="Q25" s="213" t="e">
        <f>SUM(U20)</f>
        <v>#DIV/0!</v>
      </c>
      <c r="R25" s="213"/>
      <c r="S25" s="213"/>
      <c r="T25" s="168" t="s">
        <v>191</v>
      </c>
      <c r="U25" s="169"/>
      <c r="V25" s="128"/>
    </row>
    <row r="26" spans="1:25" ht="18" x14ac:dyDescent="0.35">
      <c r="B26" s="214" t="s">
        <v>192</v>
      </c>
      <c r="C26" s="214"/>
      <c r="H26" s="210"/>
      <c r="I26" s="210"/>
      <c r="J26" s="210"/>
      <c r="K26" s="210"/>
      <c r="L26" s="127"/>
      <c r="M26" s="128"/>
      <c r="N26" s="128"/>
      <c r="O26" s="116"/>
      <c r="P26" s="170"/>
      <c r="Q26" s="218">
        <f>SUM(R20)</f>
        <v>0</v>
      </c>
      <c r="R26" s="218"/>
      <c r="S26" s="218"/>
      <c r="T26" s="171" t="s">
        <v>193</v>
      </c>
      <c r="U26" s="172"/>
      <c r="V26" s="170"/>
      <c r="Y26" s="173"/>
    </row>
    <row r="27" spans="1:25" x14ac:dyDescent="0.35">
      <c r="C27" s="174" t="s">
        <v>187</v>
      </c>
      <c r="H27" s="211"/>
      <c r="I27" s="211"/>
      <c r="J27" s="211"/>
      <c r="K27" s="211"/>
      <c r="L27" s="115"/>
      <c r="O27" s="112" t="s">
        <v>194</v>
      </c>
    </row>
    <row r="28" spans="1:25" x14ac:dyDescent="0.35">
      <c r="A28" s="116"/>
      <c r="B28" s="116"/>
      <c r="C28" s="116"/>
      <c r="D28" s="116"/>
      <c r="E28" s="215" t="s">
        <v>195</v>
      </c>
      <c r="F28" s="216"/>
      <c r="G28" s="216"/>
      <c r="H28" s="216"/>
      <c r="I28" s="216"/>
      <c r="J28" s="216"/>
      <c r="K28" s="216"/>
      <c r="L28" s="175" t="s">
        <v>196</v>
      </c>
      <c r="R28" s="208" t="s">
        <v>197</v>
      </c>
      <c r="S28" s="208"/>
      <c r="T28" s="208"/>
      <c r="V28" s="167"/>
    </row>
    <row r="29" spans="1:25" x14ac:dyDescent="0.35">
      <c r="E29" s="215"/>
      <c r="F29" s="216"/>
      <c r="G29" s="216"/>
      <c r="H29" s="216"/>
      <c r="I29" s="216"/>
      <c r="J29" s="216"/>
      <c r="K29" s="216"/>
      <c r="L29" s="175" t="s">
        <v>198</v>
      </c>
      <c r="P29" s="128"/>
      <c r="Q29" s="128"/>
    </row>
    <row r="30" spans="1:25" x14ac:dyDescent="0.35">
      <c r="E30" s="113"/>
      <c r="F30" s="166"/>
      <c r="G30" s="166"/>
      <c r="H30" s="166"/>
      <c r="I30" s="166"/>
      <c r="J30" s="166"/>
      <c r="K30" s="166"/>
      <c r="L30" s="175"/>
    </row>
    <row r="31" spans="1:25" x14ac:dyDescent="0.35">
      <c r="A31" s="112" t="s">
        <v>199</v>
      </c>
      <c r="L31" s="176" t="s">
        <v>200</v>
      </c>
      <c r="R31" s="208" t="s">
        <v>201</v>
      </c>
      <c r="S31" s="208"/>
      <c r="T31" s="208"/>
      <c r="V31" s="167"/>
    </row>
    <row r="35" s="112" customFormat="1" x14ac:dyDescent="0.35"/>
    <row r="36" s="112" customFormat="1" x14ac:dyDescent="0.35"/>
    <row r="37" s="112" customFormat="1" x14ac:dyDescent="0.35"/>
    <row r="38" s="112" customFormat="1" x14ac:dyDescent="0.35"/>
    <row r="39" s="112" customFormat="1" x14ac:dyDescent="0.35"/>
    <row r="40" s="112" customFormat="1" x14ac:dyDescent="0.35"/>
    <row r="41" s="112" customFormat="1" x14ac:dyDescent="0.35"/>
    <row r="42" s="112" customFormat="1" x14ac:dyDescent="0.35"/>
    <row r="43" s="112" customFormat="1" x14ac:dyDescent="0.35"/>
    <row r="44" s="112" customFormat="1" x14ac:dyDescent="0.35"/>
    <row r="45" s="112" customFormat="1" x14ac:dyDescent="0.35"/>
    <row r="46" s="112" customFormat="1" x14ac:dyDescent="0.35"/>
  </sheetData>
  <mergeCells count="73">
    <mergeCell ref="Q2:S2"/>
    <mergeCell ref="T2:V2"/>
    <mergeCell ref="Q3:S3"/>
    <mergeCell ref="H5:L5"/>
    <mergeCell ref="P5:V6"/>
    <mergeCell ref="C6:H6"/>
    <mergeCell ref="I6:L6"/>
    <mergeCell ref="M6:O6"/>
    <mergeCell ref="C7:H7"/>
    <mergeCell ref="I7:L7"/>
    <mergeCell ref="M7:O7"/>
    <mergeCell ref="B8:B10"/>
    <mergeCell ref="C8:C9"/>
    <mergeCell ref="D8:L9"/>
    <mergeCell ref="M8:O9"/>
    <mergeCell ref="A11:D11"/>
    <mergeCell ref="E11:K11"/>
    <mergeCell ref="L11:M11"/>
    <mergeCell ref="N11:O11"/>
    <mergeCell ref="S11:V12"/>
    <mergeCell ref="P8:R8"/>
    <mergeCell ref="S8:V8"/>
    <mergeCell ref="A9:A10"/>
    <mergeCell ref="P9:R10"/>
    <mergeCell ref="S9:V10"/>
    <mergeCell ref="A13:A15"/>
    <mergeCell ref="H13:H15"/>
    <mergeCell ref="I13:O13"/>
    <mergeCell ref="P13:U13"/>
    <mergeCell ref="V13:V15"/>
    <mergeCell ref="B14:G14"/>
    <mergeCell ref="I14:J15"/>
    <mergeCell ref="K14:L15"/>
    <mergeCell ref="M14:M15"/>
    <mergeCell ref="N14:N15"/>
    <mergeCell ref="O14:O15"/>
    <mergeCell ref="P14:Q15"/>
    <mergeCell ref="R14:T15"/>
    <mergeCell ref="U14:U15"/>
    <mergeCell ref="B16:G16"/>
    <mergeCell ref="I16:J16"/>
    <mergeCell ref="K16:L16"/>
    <mergeCell ref="P16:Q16"/>
    <mergeCell ref="R16:T16"/>
    <mergeCell ref="B17:O17"/>
    <mergeCell ref="P17:Q17"/>
    <mergeCell ref="R17:T17"/>
    <mergeCell ref="B18:O18"/>
    <mergeCell ref="B19:G19"/>
    <mergeCell ref="I19:J19"/>
    <mergeCell ref="K19:L19"/>
    <mergeCell ref="P19:Q19"/>
    <mergeCell ref="R19:T19"/>
    <mergeCell ref="B20:G20"/>
    <mergeCell ref="P20:Q20"/>
    <mergeCell ref="R20:T20"/>
    <mergeCell ref="B21:G21"/>
    <mergeCell ref="I21:J21"/>
    <mergeCell ref="K21:L21"/>
    <mergeCell ref="P21:Q21"/>
    <mergeCell ref="R21:T21"/>
    <mergeCell ref="R31:T31"/>
    <mergeCell ref="B22:C23"/>
    <mergeCell ref="H22:K23"/>
    <mergeCell ref="D24:K24"/>
    <mergeCell ref="Q25:S25"/>
    <mergeCell ref="B26:C26"/>
    <mergeCell ref="H26:K27"/>
    <mergeCell ref="E28:E29"/>
    <mergeCell ref="F28:K29"/>
    <mergeCell ref="R28:T28"/>
    <mergeCell ref="R24:T24"/>
    <mergeCell ref="Q26:S26"/>
  </mergeCells>
  <printOptions horizontalCentered="1"/>
  <pageMargins left="0.39370078740157483" right="0.39370078740157483" top="0.39370078740157483" bottom="0.39370078740157483" header="0" footer="0"/>
  <pageSetup scale="83"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67"/>
  <sheetViews>
    <sheetView zoomScaleNormal="100" zoomScaleSheetLayoutView="112" workbookViewId="0">
      <selection activeCell="K51" sqref="K51"/>
    </sheetView>
  </sheetViews>
  <sheetFormatPr defaultRowHeight="14.5" x14ac:dyDescent="0.35"/>
  <cols>
    <col min="1" max="1" width="5.26953125" style="41" customWidth="1"/>
    <col min="2" max="2" width="14.453125" style="41" customWidth="1"/>
    <col min="3" max="3" width="42.26953125" style="106" customWidth="1"/>
    <col min="4" max="4" width="9" style="106" customWidth="1"/>
    <col min="5" max="5" width="10.1796875" style="106" customWidth="1"/>
    <col min="6" max="6" width="10.81640625" style="32" customWidth="1"/>
    <col min="7" max="7" width="11.26953125" style="106" customWidth="1"/>
    <col min="8" max="8" width="8.7265625" customWidth="1"/>
  </cols>
  <sheetData>
    <row r="1" spans="1:13" x14ac:dyDescent="0.35">
      <c r="E1" s="106" t="s">
        <v>142</v>
      </c>
    </row>
    <row r="2" spans="1:13" x14ac:dyDescent="0.35">
      <c r="A2" s="8"/>
      <c r="B2" s="9"/>
      <c r="C2" s="10"/>
      <c r="D2" s="11"/>
      <c r="E2" s="11"/>
      <c r="F2" s="12"/>
      <c r="G2" s="13"/>
      <c r="I2" s="14"/>
    </row>
    <row r="3" spans="1:13" x14ac:dyDescent="0.35">
      <c r="A3" s="15"/>
      <c r="B3" s="16"/>
      <c r="C3" s="16"/>
      <c r="D3" s="17"/>
      <c r="E3" s="18"/>
      <c r="F3" s="19"/>
      <c r="G3" s="19"/>
      <c r="I3" s="20"/>
    </row>
    <row r="4" spans="1:13" x14ac:dyDescent="0.35">
      <c r="A4" s="21"/>
      <c r="B4" s="22"/>
      <c r="C4" s="23"/>
      <c r="D4" s="11"/>
      <c r="E4" s="24"/>
      <c r="F4" s="13"/>
      <c r="G4" s="13"/>
      <c r="I4" s="20"/>
    </row>
    <row r="5" spans="1:13" x14ac:dyDescent="0.35">
      <c r="A5" s="8"/>
      <c r="B5" s="25"/>
      <c r="C5" s="10"/>
      <c r="D5" s="26"/>
      <c r="E5" s="11"/>
      <c r="F5" s="13"/>
      <c r="G5" s="13"/>
    </row>
    <row r="6" spans="1:13" x14ac:dyDescent="0.35">
      <c r="A6" s="8"/>
      <c r="B6" s="25"/>
      <c r="C6" s="10"/>
      <c r="D6" s="27"/>
      <c r="E6" s="11"/>
      <c r="F6" s="13"/>
      <c r="G6" s="13"/>
      <c r="M6" s="28"/>
    </row>
    <row r="7" spans="1:13" x14ac:dyDescent="0.35">
      <c r="A7" s="8"/>
      <c r="B7" s="1"/>
      <c r="C7" s="29"/>
      <c r="D7" s="11"/>
      <c r="E7" s="11"/>
      <c r="F7" s="13"/>
      <c r="G7" s="19"/>
    </row>
    <row r="8" spans="1:13" x14ac:dyDescent="0.35">
      <c r="A8" s="30"/>
      <c r="B8" s="25"/>
      <c r="C8" s="31"/>
      <c r="D8" s="26"/>
      <c r="E8" s="32"/>
      <c r="F8" s="33"/>
      <c r="G8" s="33"/>
    </row>
    <row r="9" spans="1:13" x14ac:dyDescent="0.35">
      <c r="A9" s="34"/>
      <c r="B9" s="1"/>
      <c r="C9" s="1"/>
      <c r="D9" s="17"/>
      <c r="E9" s="35"/>
      <c r="F9" s="36"/>
      <c r="G9" s="36"/>
    </row>
    <row r="10" spans="1:13" x14ac:dyDescent="0.35">
      <c r="A10" s="37"/>
      <c r="B10" s="32"/>
      <c r="C10" s="32"/>
      <c r="D10" s="32"/>
      <c r="E10" s="32"/>
      <c r="G10" s="32"/>
    </row>
    <row r="11" spans="1:13" x14ac:dyDescent="0.35">
      <c r="A11" s="289" t="s">
        <v>100</v>
      </c>
      <c r="B11" s="289"/>
      <c r="C11" s="290"/>
      <c r="D11" s="290"/>
      <c r="E11" s="290"/>
      <c r="F11" s="290"/>
      <c r="G11" s="290"/>
    </row>
    <row r="12" spans="1:13" x14ac:dyDescent="0.35">
      <c r="A12" s="38"/>
      <c r="B12" s="39"/>
      <c r="C12" s="291" t="s">
        <v>101</v>
      </c>
      <c r="D12" s="291"/>
      <c r="E12" s="291"/>
      <c r="F12" s="291"/>
      <c r="G12" s="291"/>
    </row>
    <row r="13" spans="1:13" x14ac:dyDescent="0.35">
      <c r="A13" s="287" t="s">
        <v>102</v>
      </c>
      <c r="B13" s="287"/>
      <c r="C13" s="290"/>
      <c r="D13" s="290"/>
      <c r="E13" s="290"/>
      <c r="F13" s="290"/>
      <c r="G13" s="290"/>
    </row>
    <row r="14" spans="1:13" x14ac:dyDescent="0.35">
      <c r="C14" s="288" t="s">
        <v>103</v>
      </c>
      <c r="D14" s="288"/>
      <c r="E14" s="288"/>
      <c r="F14" s="288"/>
      <c r="G14" s="288"/>
    </row>
    <row r="15" spans="1:13" ht="34.5" customHeight="1" x14ac:dyDescent="0.35">
      <c r="A15" s="281" t="s">
        <v>104</v>
      </c>
      <c r="B15" s="281"/>
      <c r="C15" s="292"/>
      <c r="D15" s="292"/>
      <c r="E15" s="292"/>
      <c r="F15" s="292"/>
      <c r="G15" s="292"/>
    </row>
    <row r="16" spans="1:13" x14ac:dyDescent="0.35">
      <c r="A16" s="42"/>
      <c r="B16" s="42"/>
      <c r="C16" s="43"/>
      <c r="D16" s="43"/>
      <c r="E16" s="43"/>
      <c r="F16" s="43"/>
      <c r="G16" s="44"/>
    </row>
    <row r="17" spans="1:8" x14ac:dyDescent="0.35">
      <c r="A17" s="287" t="s">
        <v>105</v>
      </c>
      <c r="B17" s="287"/>
      <c r="C17" s="293"/>
      <c r="D17" s="293"/>
      <c r="E17" s="293"/>
      <c r="F17" s="293"/>
      <c r="G17" s="293"/>
    </row>
    <row r="18" spans="1:8" x14ac:dyDescent="0.35">
      <c r="A18" s="40"/>
      <c r="B18" s="40"/>
      <c r="C18" s="293"/>
      <c r="D18" s="293"/>
      <c r="E18" s="293"/>
      <c r="F18" s="293"/>
      <c r="G18" s="293"/>
    </row>
    <row r="19" spans="1:8" x14ac:dyDescent="0.35">
      <c r="B19" s="45"/>
      <c r="C19" s="288" t="s">
        <v>106</v>
      </c>
      <c r="D19" s="288"/>
      <c r="E19" s="288"/>
      <c r="F19" s="288"/>
      <c r="G19" s="288"/>
    </row>
    <row r="20" spans="1:8" x14ac:dyDescent="0.35">
      <c r="B20" s="45"/>
      <c r="C20" s="46"/>
      <c r="D20" s="46"/>
      <c r="E20" s="46"/>
      <c r="F20" s="46"/>
      <c r="G20" s="46"/>
    </row>
    <row r="21" spans="1:8" x14ac:dyDescent="0.35">
      <c r="A21" s="280" t="s">
        <v>107</v>
      </c>
      <c r="B21" s="280"/>
      <c r="C21" s="280"/>
      <c r="D21" s="280"/>
      <c r="E21" s="280"/>
      <c r="F21" s="280"/>
      <c r="G21" s="280"/>
    </row>
    <row r="22" spans="1:8" x14ac:dyDescent="0.35">
      <c r="A22" s="280" t="s">
        <v>108</v>
      </c>
      <c r="B22" s="280"/>
      <c r="C22" s="280"/>
      <c r="D22" s="280"/>
      <c r="E22" s="280"/>
      <c r="F22" s="280"/>
      <c r="G22" s="280"/>
    </row>
    <row r="23" spans="1:8" x14ac:dyDescent="0.35">
      <c r="A23" s="280" t="s">
        <v>109</v>
      </c>
      <c r="B23" s="280"/>
      <c r="C23" s="280"/>
      <c r="D23" s="280"/>
      <c r="E23" s="280"/>
      <c r="F23" s="280"/>
      <c r="G23" s="280"/>
    </row>
    <row r="24" spans="1:8" x14ac:dyDescent="0.35">
      <c r="A24" s="47"/>
      <c r="B24" s="48"/>
      <c r="C24" s="49"/>
      <c r="D24" s="44"/>
      <c r="E24" s="49"/>
      <c r="F24" s="50"/>
      <c r="G24" s="49"/>
    </row>
    <row r="25" spans="1:8" ht="29" customHeight="1" x14ac:dyDescent="0.35">
      <c r="A25" s="281" t="s">
        <v>110</v>
      </c>
      <c r="B25" s="281"/>
      <c r="C25" s="282"/>
      <c r="D25" s="283"/>
      <c r="E25" s="283"/>
      <c r="F25" s="283"/>
      <c r="G25" s="283"/>
    </row>
    <row r="27" spans="1:8" x14ac:dyDescent="0.35">
      <c r="A27" s="284" t="s">
        <v>111</v>
      </c>
      <c r="B27" s="284"/>
      <c r="C27" s="284"/>
      <c r="D27" s="284"/>
      <c r="E27" s="284"/>
      <c r="F27" s="285">
        <f>G59</f>
        <v>0</v>
      </c>
      <c r="G27" s="285"/>
    </row>
    <row r="28" spans="1:8" x14ac:dyDescent="0.35">
      <c r="A28" s="45"/>
      <c r="B28" s="45"/>
      <c r="C28" s="51"/>
      <c r="D28" s="51"/>
      <c r="E28" s="45"/>
      <c r="F28" s="52"/>
      <c r="G28" s="45"/>
    </row>
    <row r="29" spans="1:8" ht="39" x14ac:dyDescent="0.35">
      <c r="A29" s="53" t="s">
        <v>112</v>
      </c>
      <c r="B29" s="53" t="s">
        <v>113</v>
      </c>
      <c r="C29" s="53" t="s">
        <v>114</v>
      </c>
      <c r="D29" s="53" t="s">
        <v>79</v>
      </c>
      <c r="E29" s="53" t="s">
        <v>115</v>
      </c>
      <c r="F29" s="53" t="s">
        <v>116</v>
      </c>
      <c r="G29" s="53" t="s">
        <v>117</v>
      </c>
      <c r="H29" s="109"/>
    </row>
    <row r="30" spans="1:8" x14ac:dyDescent="0.35">
      <c r="A30" s="54">
        <v>1</v>
      </c>
      <c r="B30" s="54">
        <v>2</v>
      </c>
      <c r="C30" s="54">
        <v>3</v>
      </c>
      <c r="D30" s="54">
        <v>4</v>
      </c>
      <c r="E30" s="54">
        <v>5</v>
      </c>
      <c r="F30" s="53">
        <v>6</v>
      </c>
      <c r="G30" s="54">
        <v>7</v>
      </c>
      <c r="H30" s="55" t="s">
        <v>118</v>
      </c>
    </row>
    <row r="31" spans="1:8" x14ac:dyDescent="0.35">
      <c r="A31" s="56"/>
      <c r="B31" s="57"/>
      <c r="C31" s="58"/>
      <c r="D31" s="56"/>
      <c r="E31" s="59"/>
      <c r="F31" s="188"/>
      <c r="G31" s="188"/>
      <c r="H31" s="110">
        <v>0</v>
      </c>
    </row>
    <row r="32" spans="1:8" x14ac:dyDescent="0.35">
      <c r="A32" s="61"/>
      <c r="B32" s="62"/>
      <c r="C32" s="63" t="s">
        <v>119</v>
      </c>
      <c r="D32" s="64"/>
      <c r="E32" s="65"/>
      <c r="F32" s="66"/>
      <c r="G32" s="65"/>
    </row>
    <row r="33" spans="1:8" x14ac:dyDescent="0.35">
      <c r="A33" s="61"/>
      <c r="B33" s="62"/>
      <c r="C33" s="62" t="s">
        <v>613</v>
      </c>
      <c r="D33" s="67"/>
      <c r="E33" s="185"/>
      <c r="F33" s="66"/>
      <c r="G33" s="189"/>
    </row>
    <row r="34" spans="1:8" x14ac:dyDescent="0.35">
      <c r="A34" s="61"/>
      <c r="B34" s="68"/>
      <c r="C34" s="63" t="s">
        <v>120</v>
      </c>
      <c r="D34" s="67"/>
      <c r="E34" s="65"/>
      <c r="F34" s="66"/>
      <c r="G34" s="190"/>
    </row>
    <row r="35" spans="1:8" x14ac:dyDescent="0.35">
      <c r="A35" s="70"/>
      <c r="B35" s="71"/>
      <c r="C35" s="72" t="s">
        <v>121</v>
      </c>
      <c r="D35" s="53"/>
      <c r="E35" s="73"/>
      <c r="F35" s="74"/>
      <c r="G35" s="74"/>
    </row>
    <row r="36" spans="1:8" x14ac:dyDescent="0.35">
      <c r="A36" s="70"/>
      <c r="B36" s="75"/>
      <c r="C36" s="76"/>
      <c r="D36" s="77"/>
      <c r="E36" s="78"/>
      <c r="F36" s="79"/>
      <c r="G36" s="74"/>
    </row>
    <row r="37" spans="1:8" x14ac:dyDescent="0.35">
      <c r="A37" s="70"/>
      <c r="B37" s="71"/>
      <c r="C37" s="72" t="s">
        <v>122</v>
      </c>
      <c r="D37" s="53"/>
      <c r="E37" s="73"/>
      <c r="F37" s="74"/>
      <c r="G37" s="80"/>
    </row>
    <row r="38" spans="1:8" x14ac:dyDescent="0.35">
      <c r="A38" s="61"/>
      <c r="B38" s="68"/>
      <c r="C38" s="62" t="s">
        <v>123</v>
      </c>
      <c r="D38" s="67"/>
      <c r="E38" s="65"/>
      <c r="F38" s="66"/>
      <c r="G38" s="69"/>
    </row>
    <row r="39" spans="1:8" x14ac:dyDescent="0.35">
      <c r="A39" s="61"/>
      <c r="B39" s="68"/>
      <c r="C39" s="62"/>
      <c r="D39" s="67"/>
      <c r="E39" s="65"/>
      <c r="F39" s="66"/>
      <c r="G39" s="69"/>
      <c r="H39" s="55" t="s">
        <v>118</v>
      </c>
    </row>
    <row r="40" spans="1:8" ht="39" x14ac:dyDescent="0.35">
      <c r="A40" s="56"/>
      <c r="B40" s="81" t="s">
        <v>124</v>
      </c>
      <c r="C40" s="82" t="s">
        <v>125</v>
      </c>
      <c r="D40" s="83" t="s">
        <v>126</v>
      </c>
      <c r="E40" s="84">
        <v>1</v>
      </c>
      <c r="F40" s="188"/>
      <c r="G40" s="188"/>
      <c r="H40" s="107">
        <v>3.3000000000000002E-2</v>
      </c>
    </row>
    <row r="41" spans="1:8" x14ac:dyDescent="0.35">
      <c r="A41" s="61"/>
      <c r="B41" s="62"/>
      <c r="C41" s="63" t="s">
        <v>119</v>
      </c>
      <c r="D41" s="64"/>
      <c r="E41" s="65"/>
      <c r="F41" s="66"/>
      <c r="G41" s="65"/>
    </row>
    <row r="42" spans="1:8" x14ac:dyDescent="0.35">
      <c r="A42" s="61"/>
      <c r="B42" s="62"/>
      <c r="C42" s="62" t="s">
        <v>613</v>
      </c>
      <c r="D42" s="67"/>
      <c r="E42" s="185"/>
      <c r="F42" s="66"/>
      <c r="G42" s="189"/>
    </row>
    <row r="43" spans="1:8" x14ac:dyDescent="0.35">
      <c r="A43" s="61"/>
      <c r="B43" s="68"/>
      <c r="C43" s="63" t="s">
        <v>120</v>
      </c>
      <c r="D43" s="67"/>
      <c r="E43" s="65"/>
      <c r="F43" s="66"/>
      <c r="G43" s="190"/>
    </row>
    <row r="44" spans="1:8" x14ac:dyDescent="0.35">
      <c r="A44" s="70"/>
      <c r="B44" s="71"/>
      <c r="C44" s="72" t="s">
        <v>121</v>
      </c>
      <c r="D44" s="53"/>
      <c r="E44" s="73"/>
      <c r="F44" s="74"/>
      <c r="G44" s="74"/>
    </row>
    <row r="45" spans="1:8" x14ac:dyDescent="0.35">
      <c r="A45" s="70"/>
      <c r="B45" s="75"/>
      <c r="C45" s="76"/>
      <c r="D45" s="77"/>
      <c r="E45" s="78"/>
      <c r="F45" s="74"/>
      <c r="G45" s="74"/>
    </row>
    <row r="46" spans="1:8" x14ac:dyDescent="0.35">
      <c r="A46" s="70"/>
      <c r="B46" s="71"/>
      <c r="C46" s="72" t="s">
        <v>122</v>
      </c>
      <c r="D46" s="53"/>
      <c r="E46" s="73"/>
      <c r="F46" s="74"/>
      <c r="G46" s="80"/>
    </row>
    <row r="47" spans="1:8" x14ac:dyDescent="0.35">
      <c r="A47" s="61"/>
      <c r="B47" s="68"/>
      <c r="C47" s="62" t="s">
        <v>123</v>
      </c>
      <c r="D47" s="67"/>
      <c r="E47" s="65"/>
      <c r="F47" s="66"/>
      <c r="G47" s="69"/>
    </row>
    <row r="48" spans="1:8" x14ac:dyDescent="0.35">
      <c r="A48" s="61"/>
      <c r="B48" s="68"/>
      <c r="C48" s="62"/>
      <c r="D48" s="67"/>
      <c r="E48" s="65"/>
      <c r="F48" s="66"/>
      <c r="G48" s="69"/>
    </row>
    <row r="49" spans="1:7" x14ac:dyDescent="0.35">
      <c r="A49" s="56"/>
      <c r="B49" s="85"/>
      <c r="C49" s="58" t="s">
        <v>127</v>
      </c>
      <c r="D49" s="86"/>
      <c r="E49" s="87"/>
      <c r="F49" s="88"/>
      <c r="G49" s="60"/>
    </row>
    <row r="50" spans="1:7" x14ac:dyDescent="0.35">
      <c r="A50" s="70"/>
      <c r="B50" s="71"/>
      <c r="C50" s="89" t="s">
        <v>123</v>
      </c>
      <c r="D50" s="53"/>
      <c r="E50" s="73"/>
      <c r="F50" s="74"/>
      <c r="G50" s="74"/>
    </row>
    <row r="51" spans="1:7" x14ac:dyDescent="0.35">
      <c r="A51" s="70"/>
      <c r="B51" s="68">
        <v>50034800</v>
      </c>
      <c r="C51" s="62" t="s">
        <v>143</v>
      </c>
      <c r="D51" s="67" t="s">
        <v>98</v>
      </c>
      <c r="E51" s="65">
        <v>0</v>
      </c>
      <c r="F51" s="66" t="s">
        <v>144</v>
      </c>
      <c r="G51" s="74"/>
    </row>
    <row r="52" spans="1:7" x14ac:dyDescent="0.35">
      <c r="A52" s="70"/>
      <c r="B52" s="71"/>
      <c r="C52" s="89"/>
      <c r="D52" s="67" t="s">
        <v>99</v>
      </c>
      <c r="E52" s="65">
        <v>0</v>
      </c>
      <c r="F52" s="66" t="s">
        <v>145</v>
      </c>
      <c r="G52" s="74"/>
    </row>
    <row r="53" spans="1:7" x14ac:dyDescent="0.35">
      <c r="A53" s="90"/>
      <c r="B53" s="91"/>
      <c r="C53" s="91" t="s">
        <v>128</v>
      </c>
      <c r="D53" s="92"/>
      <c r="E53" s="93"/>
      <c r="F53" s="80"/>
      <c r="G53" s="80"/>
    </row>
    <row r="54" spans="1:7" x14ac:dyDescent="0.35">
      <c r="A54" s="94"/>
      <c r="B54" s="95"/>
      <c r="C54" s="96" t="s">
        <v>129</v>
      </c>
      <c r="D54" s="53"/>
      <c r="E54" s="187"/>
      <c r="F54" s="74"/>
      <c r="G54" s="74"/>
    </row>
    <row r="55" spans="1:7" ht="26" x14ac:dyDescent="0.35">
      <c r="A55" s="70"/>
      <c r="B55" s="97"/>
      <c r="C55" s="89" t="s">
        <v>130</v>
      </c>
      <c r="D55" s="98">
        <v>0.24</v>
      </c>
      <c r="E55" s="73"/>
      <c r="F55" s="74"/>
      <c r="G55" s="74"/>
    </row>
    <row r="56" spans="1:7" ht="26" x14ac:dyDescent="0.35">
      <c r="A56" s="70"/>
      <c r="B56" s="97"/>
      <c r="C56" s="89" t="s">
        <v>131</v>
      </c>
      <c r="D56" s="99">
        <v>0.1</v>
      </c>
      <c r="E56" s="73"/>
      <c r="F56" s="74"/>
      <c r="G56" s="74"/>
    </row>
    <row r="57" spans="1:7" x14ac:dyDescent="0.35">
      <c r="A57" s="70"/>
      <c r="B57" s="100"/>
      <c r="C57" s="72" t="s">
        <v>132</v>
      </c>
      <c r="D57" s="53"/>
      <c r="E57" s="73"/>
      <c r="F57" s="74"/>
      <c r="G57" s="80"/>
    </row>
    <row r="58" spans="1:7" x14ac:dyDescent="0.35">
      <c r="A58" s="101"/>
      <c r="B58" s="97"/>
      <c r="C58" s="102" t="s">
        <v>133</v>
      </c>
      <c r="D58" s="98">
        <v>0.14499999999999999</v>
      </c>
      <c r="E58" s="103"/>
      <c r="F58" s="103"/>
      <c r="G58" s="103"/>
    </row>
    <row r="59" spans="1:7" x14ac:dyDescent="0.35">
      <c r="A59" s="104"/>
      <c r="B59" s="100"/>
      <c r="C59" s="100" t="s">
        <v>134</v>
      </c>
      <c r="D59" s="92"/>
      <c r="E59" s="105"/>
      <c r="F59" s="105"/>
      <c r="G59" s="105"/>
    </row>
    <row r="60" spans="1:7" x14ac:dyDescent="0.35">
      <c r="A60" s="34"/>
      <c r="B60" s="1"/>
      <c r="C60" s="1"/>
      <c r="D60" s="17"/>
      <c r="E60" s="35"/>
      <c r="F60" s="36"/>
      <c r="G60" s="36"/>
    </row>
    <row r="61" spans="1:7" x14ac:dyDescent="0.35">
      <c r="A61" s="286" t="s">
        <v>135</v>
      </c>
      <c r="B61" s="286"/>
      <c r="C61" s="32"/>
      <c r="D61" s="286" t="s">
        <v>136</v>
      </c>
      <c r="E61" s="286"/>
      <c r="G61" s="32"/>
    </row>
    <row r="62" spans="1:7" x14ac:dyDescent="0.35">
      <c r="A62" s="35"/>
      <c r="B62" s="52"/>
      <c r="C62" s="32"/>
      <c r="D62" s="35"/>
      <c r="E62" s="32"/>
      <c r="G62" s="32"/>
    </row>
    <row r="63" spans="1:7" x14ac:dyDescent="0.35">
      <c r="A63" s="279" t="s">
        <v>137</v>
      </c>
      <c r="B63" s="279"/>
      <c r="C63" s="108" t="s">
        <v>614</v>
      </c>
      <c r="D63" s="287" t="s">
        <v>138</v>
      </c>
      <c r="E63" s="287"/>
      <c r="G63" s="108" t="s">
        <v>23</v>
      </c>
    </row>
    <row r="64" spans="1:7" x14ac:dyDescent="0.35">
      <c r="A64" s="52"/>
      <c r="B64" s="52"/>
      <c r="C64" s="32"/>
      <c r="D64" s="37"/>
      <c r="E64" s="32"/>
      <c r="G64" s="32"/>
    </row>
    <row r="65" spans="1:7" x14ac:dyDescent="0.35">
      <c r="A65" s="5" t="s">
        <v>139</v>
      </c>
      <c r="B65" s="52"/>
      <c r="C65" s="32"/>
      <c r="D65" s="279" t="s">
        <v>140</v>
      </c>
      <c r="E65" s="279"/>
      <c r="G65" s="108" t="s">
        <v>24</v>
      </c>
    </row>
    <row r="66" spans="1:7" x14ac:dyDescent="0.35">
      <c r="A66" s="5"/>
      <c r="B66" s="52"/>
      <c r="C66" s="32"/>
      <c r="D66" s="37"/>
      <c r="E66" s="32"/>
      <c r="G66" s="32"/>
    </row>
    <row r="67" spans="1:7" x14ac:dyDescent="0.35">
      <c r="A67" s="279" t="s">
        <v>141</v>
      </c>
      <c r="B67" s="279"/>
      <c r="C67" s="108" t="s">
        <v>615</v>
      </c>
      <c r="D67" s="32" t="s">
        <v>142</v>
      </c>
      <c r="E67" s="32"/>
      <c r="G67" s="32"/>
    </row>
  </sheetData>
  <mergeCells count="25">
    <mergeCell ref="C19:G19"/>
    <mergeCell ref="A11:B11"/>
    <mergeCell ref="C11:G11"/>
    <mergeCell ref="C12:G12"/>
    <mergeCell ref="A13:B13"/>
    <mergeCell ref="C13:G13"/>
    <mergeCell ref="C14:G14"/>
    <mergeCell ref="A15:B15"/>
    <mergeCell ref="C15:G15"/>
    <mergeCell ref="A17:B17"/>
    <mergeCell ref="C17:G17"/>
    <mergeCell ref="C18:G18"/>
    <mergeCell ref="A67:B67"/>
    <mergeCell ref="A21:G21"/>
    <mergeCell ref="A22:G22"/>
    <mergeCell ref="A23:G23"/>
    <mergeCell ref="A25:B25"/>
    <mergeCell ref="C25:G25"/>
    <mergeCell ref="A27:E27"/>
    <mergeCell ref="F27:G27"/>
    <mergeCell ref="A61:B61"/>
    <mergeCell ref="D61:E61"/>
    <mergeCell ref="A63:B63"/>
    <mergeCell ref="D63:E63"/>
    <mergeCell ref="D65:E65"/>
  </mergeCells>
  <printOptions horizontalCentered="1"/>
  <pageMargins left="0.39370078740157483" right="0.39370078740157483" top="0.39370078740157483" bottom="0.39370078740157483" header="0" footer="0"/>
  <pageSetup scale="95" orientation="portrait" r:id="rId1"/>
  <colBreaks count="1" manualBreakCount="1">
    <brk id="7" max="1048575" man="1"/>
  </colBreaks>
  <ignoredErrors>
    <ignoredError sqref="F51:F52" numberStoredAsText="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Q13"/>
  <sheetViews>
    <sheetView workbookViewId="0">
      <selection activeCell="J24" sqref="J24"/>
    </sheetView>
  </sheetViews>
  <sheetFormatPr defaultColWidth="8.7265625" defaultRowHeight="14.5" x14ac:dyDescent="0.35"/>
  <cols>
    <col min="1" max="1" width="6.26953125" style="3" bestFit="1" customWidth="1"/>
    <col min="2" max="2" width="6.26953125" style="3" customWidth="1"/>
    <col min="3" max="3" width="10" style="3" bestFit="1" customWidth="1"/>
    <col min="4" max="4" width="12.453125" style="3" customWidth="1"/>
    <col min="5" max="5" width="7.90625" style="3" customWidth="1"/>
    <col min="6" max="6" width="10.453125" style="3" customWidth="1"/>
    <col min="7" max="7" width="13.26953125" style="3" customWidth="1"/>
    <col min="8" max="8" width="13.81640625" style="3" bestFit="1" customWidth="1"/>
    <col min="9" max="9" width="14.1796875" style="3" customWidth="1"/>
    <col min="10" max="10" width="10.26953125" style="3" customWidth="1"/>
    <col min="11" max="11" width="11.1796875" style="3" customWidth="1"/>
    <col min="12" max="13" width="15.81640625" style="3" customWidth="1"/>
    <col min="14" max="14" width="11.81640625" style="3" bestFit="1" customWidth="1"/>
    <col min="15" max="15" width="81.1796875" style="3" customWidth="1"/>
    <col min="16" max="16" width="35" style="3" customWidth="1"/>
    <col min="17" max="17" width="22.54296875" style="3" customWidth="1"/>
    <col min="18" max="16384" width="8.7265625" style="2"/>
  </cols>
  <sheetData>
    <row r="1" spans="1:17" x14ac:dyDescent="0.35">
      <c r="A1" s="1" t="s">
        <v>1</v>
      </c>
      <c r="B1" s="1" t="s">
        <v>203</v>
      </c>
      <c r="C1" s="1" t="s">
        <v>2</v>
      </c>
      <c r="D1" s="1" t="s">
        <v>3</v>
      </c>
      <c r="E1" s="1" t="s">
        <v>617</v>
      </c>
      <c r="F1" s="1" t="s">
        <v>4</v>
      </c>
      <c r="G1" s="1" t="s">
        <v>5</v>
      </c>
      <c r="H1" s="1" t="s">
        <v>6</v>
      </c>
      <c r="I1" s="1" t="s">
        <v>7</v>
      </c>
      <c r="J1" s="1" t="s">
        <v>8</v>
      </c>
      <c r="K1" s="1" t="s">
        <v>9</v>
      </c>
      <c r="L1" s="1" t="s">
        <v>10</v>
      </c>
      <c r="M1" s="1" t="s">
        <v>11</v>
      </c>
      <c r="N1" s="1" t="s">
        <v>12</v>
      </c>
      <c r="O1" s="1" t="s">
        <v>13</v>
      </c>
      <c r="P1" s="1" t="s">
        <v>0</v>
      </c>
      <c r="Q1" s="1" t="s">
        <v>14</v>
      </c>
    </row>
    <row r="2" spans="1:17" x14ac:dyDescent="0.35">
      <c r="A2" s="3">
        <v>1</v>
      </c>
      <c r="B2" s="4" t="s">
        <v>17</v>
      </c>
      <c r="C2" s="3" t="s">
        <v>18</v>
      </c>
      <c r="D2" s="3" t="s">
        <v>19</v>
      </c>
      <c r="E2" s="3" t="s">
        <v>15</v>
      </c>
      <c r="F2" s="3">
        <v>53201</v>
      </c>
      <c r="G2" s="7">
        <v>87.99</v>
      </c>
      <c r="H2" s="3" t="s">
        <v>20</v>
      </c>
      <c r="I2" s="3" t="s">
        <v>21</v>
      </c>
      <c r="J2" s="3">
        <v>3166</v>
      </c>
      <c r="K2" s="3" t="s">
        <v>22</v>
      </c>
      <c r="L2" s="3" t="s">
        <v>23</v>
      </c>
      <c r="M2" s="3" t="s">
        <v>24</v>
      </c>
      <c r="N2" s="3" t="s">
        <v>25</v>
      </c>
      <c r="O2" s="3" t="s">
        <v>26</v>
      </c>
      <c r="P2" s="3" t="s">
        <v>16</v>
      </c>
      <c r="Q2" s="3" t="s">
        <v>27</v>
      </c>
    </row>
    <row r="3" spans="1:17" x14ac:dyDescent="0.35">
      <c r="A3" s="3">
        <v>2</v>
      </c>
      <c r="B3" s="4" t="s">
        <v>30</v>
      </c>
      <c r="C3" s="3" t="s">
        <v>31</v>
      </c>
      <c r="E3" s="3" t="s">
        <v>28</v>
      </c>
      <c r="F3" s="3">
        <v>53301</v>
      </c>
      <c r="G3" s="7">
        <v>65.849999999999994</v>
      </c>
      <c r="H3" s="3" t="s">
        <v>32</v>
      </c>
      <c r="I3" s="3" t="s">
        <v>33</v>
      </c>
      <c r="J3" s="3">
        <v>2652</v>
      </c>
      <c r="K3" s="3" t="s">
        <v>34</v>
      </c>
      <c r="L3" s="3" t="s">
        <v>23</v>
      </c>
      <c r="M3" s="3" t="s">
        <v>24</v>
      </c>
      <c r="N3" s="3" t="s">
        <v>25</v>
      </c>
      <c r="O3" s="3" t="s">
        <v>35</v>
      </c>
      <c r="P3" s="3" t="s">
        <v>29</v>
      </c>
      <c r="Q3" s="3" t="s">
        <v>36</v>
      </c>
    </row>
    <row r="4" spans="1:17" x14ac:dyDescent="0.35">
      <c r="A4" s="3">
        <v>3</v>
      </c>
      <c r="B4" s="4" t="s">
        <v>39</v>
      </c>
      <c r="C4" s="3" t="s">
        <v>40</v>
      </c>
      <c r="E4" s="3" t="s">
        <v>37</v>
      </c>
      <c r="F4" s="3">
        <v>53304</v>
      </c>
      <c r="G4" s="7">
        <v>67.900000000000006</v>
      </c>
      <c r="H4" s="3" t="s">
        <v>41</v>
      </c>
      <c r="I4" s="3" t="s">
        <v>42</v>
      </c>
      <c r="J4" s="3">
        <v>6433</v>
      </c>
      <c r="K4" s="3" t="s">
        <v>43</v>
      </c>
      <c r="L4" s="3" t="s">
        <v>23</v>
      </c>
      <c r="M4" s="3" t="s">
        <v>24</v>
      </c>
      <c r="N4" s="3" t="s">
        <v>146</v>
      </c>
      <c r="O4" s="3" t="s">
        <v>44</v>
      </c>
      <c r="P4" s="3" t="s">
        <v>38</v>
      </c>
      <c r="Q4" s="3" t="s">
        <v>45</v>
      </c>
    </row>
    <row r="5" spans="1:17" x14ac:dyDescent="0.35">
      <c r="A5" s="3">
        <v>4</v>
      </c>
      <c r="B5" s="4" t="s">
        <v>48</v>
      </c>
      <c r="C5" s="3" t="s">
        <v>49</v>
      </c>
      <c r="E5" s="3" t="s">
        <v>46</v>
      </c>
      <c r="F5" s="3">
        <v>53401</v>
      </c>
      <c r="G5" s="7">
        <v>69.55</v>
      </c>
      <c r="H5" s="3" t="s">
        <v>50</v>
      </c>
      <c r="I5" s="3" t="s">
        <v>51</v>
      </c>
      <c r="J5" s="3">
        <v>2562</v>
      </c>
      <c r="K5" s="3" t="s">
        <v>52</v>
      </c>
      <c r="L5" s="3" t="s">
        <v>23</v>
      </c>
      <c r="M5" s="3" t="s">
        <v>24</v>
      </c>
      <c r="N5" s="3" t="s">
        <v>146</v>
      </c>
      <c r="O5" s="3" t="s">
        <v>53</v>
      </c>
      <c r="P5" s="3" t="s">
        <v>47</v>
      </c>
    </row>
    <row r="6" spans="1:17" x14ac:dyDescent="0.35">
      <c r="A6" s="3">
        <v>5</v>
      </c>
      <c r="B6" s="4" t="s">
        <v>55</v>
      </c>
      <c r="C6" s="3" t="s">
        <v>56</v>
      </c>
      <c r="P6" s="3" t="s">
        <v>54</v>
      </c>
    </row>
    <row r="7" spans="1:17" x14ac:dyDescent="0.35">
      <c r="A7" s="3">
        <v>6</v>
      </c>
      <c r="B7" s="4" t="s">
        <v>58</v>
      </c>
      <c r="C7" s="3" t="s">
        <v>59</v>
      </c>
      <c r="P7" s="3" t="s">
        <v>57</v>
      </c>
    </row>
    <row r="8" spans="1:17" x14ac:dyDescent="0.35">
      <c r="A8" s="3">
        <v>7</v>
      </c>
      <c r="B8" s="4" t="s">
        <v>61</v>
      </c>
      <c r="C8" s="3" t="s">
        <v>62</v>
      </c>
      <c r="P8" s="3" t="s">
        <v>60</v>
      </c>
    </row>
    <row r="9" spans="1:17" x14ac:dyDescent="0.35">
      <c r="A9" s="3">
        <v>8</v>
      </c>
      <c r="B9" s="4" t="s">
        <v>64</v>
      </c>
      <c r="C9" s="3" t="s">
        <v>65</v>
      </c>
      <c r="P9" s="3" t="s">
        <v>63</v>
      </c>
    </row>
    <row r="10" spans="1:17" x14ac:dyDescent="0.35">
      <c r="A10" s="3">
        <v>9</v>
      </c>
      <c r="B10" s="4" t="s">
        <v>67</v>
      </c>
      <c r="C10" s="3" t="s">
        <v>68</v>
      </c>
      <c r="P10" s="3" t="s">
        <v>66</v>
      </c>
    </row>
    <row r="11" spans="1:17" x14ac:dyDescent="0.35">
      <c r="A11" s="3">
        <v>10</v>
      </c>
      <c r="B11" s="4" t="s">
        <v>69</v>
      </c>
      <c r="C11" s="3" t="s">
        <v>70</v>
      </c>
      <c r="P11" s="2"/>
    </row>
    <row r="12" spans="1:17" x14ac:dyDescent="0.35">
      <c r="A12" s="3">
        <v>11</v>
      </c>
      <c r="B12" s="4" t="s">
        <v>71</v>
      </c>
      <c r="C12" s="3" t="s">
        <v>72</v>
      </c>
      <c r="P12" s="2"/>
    </row>
    <row r="13" spans="1:17" x14ac:dyDescent="0.35">
      <c r="A13" s="3">
        <v>12</v>
      </c>
      <c r="B13" s="4" t="s">
        <v>73</v>
      </c>
      <c r="C13" s="3" t="s">
        <v>74</v>
      </c>
      <c r="P13" s="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6913E-2FC7-46D6-8C97-E302D7F7C420}">
  <sheetPr codeName="Sheet5"/>
  <dimension ref="A1:D4"/>
  <sheetViews>
    <sheetView workbookViewId="0">
      <selection activeCell="N13" sqref="N13"/>
    </sheetView>
  </sheetViews>
  <sheetFormatPr defaultColWidth="8.7265625" defaultRowHeight="13" x14ac:dyDescent="0.35"/>
  <cols>
    <col min="1" max="1" width="41.1796875" style="3" customWidth="1"/>
    <col min="2" max="2" width="6.26953125" style="3" customWidth="1"/>
    <col min="3" max="3" width="8.81640625" style="3" bestFit="1" customWidth="1"/>
    <col min="4" max="4" width="7.81640625" style="3" customWidth="1"/>
    <col min="5" max="16384" width="8.7265625" style="3"/>
  </cols>
  <sheetData>
    <row r="1" spans="1:4" x14ac:dyDescent="0.35">
      <c r="A1" s="1" t="s">
        <v>619</v>
      </c>
      <c r="B1" s="1" t="s">
        <v>79</v>
      </c>
      <c r="C1" s="1" t="s">
        <v>91</v>
      </c>
      <c r="D1" s="1" t="s">
        <v>92</v>
      </c>
    </row>
    <row r="2" spans="1:4" x14ac:dyDescent="0.35">
      <c r="A2" s="3" t="s">
        <v>27</v>
      </c>
      <c r="B2" s="3" t="s">
        <v>620</v>
      </c>
      <c r="C2" s="7">
        <v>0</v>
      </c>
      <c r="D2" s="7">
        <v>20.56</v>
      </c>
    </row>
    <row r="3" spans="1:4" x14ac:dyDescent="0.35">
      <c r="A3" s="3" t="s">
        <v>36</v>
      </c>
      <c r="B3" s="3" t="s">
        <v>620</v>
      </c>
      <c r="C3" s="7">
        <v>0</v>
      </c>
      <c r="D3" s="7">
        <v>20.53</v>
      </c>
    </row>
    <row r="4" spans="1:4" x14ac:dyDescent="0.35">
      <c r="A4" s="3" t="s">
        <v>45</v>
      </c>
      <c r="B4" s="3" t="s">
        <v>620</v>
      </c>
      <c r="C4" s="7">
        <v>0</v>
      </c>
      <c r="D4" s="7">
        <v>20.58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30E0A-43D9-46AB-80DB-9078D5818514}">
  <sheetPr codeName="Sheet6"/>
  <dimension ref="A1:G177"/>
  <sheetViews>
    <sheetView topLeftCell="A91" workbookViewId="0">
      <selection activeCell="F162" sqref="F162"/>
    </sheetView>
  </sheetViews>
  <sheetFormatPr defaultColWidth="8.7265625" defaultRowHeight="13" x14ac:dyDescent="0.35"/>
  <cols>
    <col min="1" max="1" width="11.26953125" style="3" bestFit="1" customWidth="1"/>
    <col min="2" max="2" width="13.54296875" style="3" bestFit="1" customWidth="1"/>
    <col min="3" max="3" width="48.54296875" style="3" customWidth="1"/>
    <col min="4" max="4" width="7.1796875" style="3" customWidth="1"/>
    <col min="5" max="5" width="9.453125" style="3" bestFit="1" customWidth="1"/>
    <col min="6" max="6" width="6.1796875" style="3" customWidth="1"/>
    <col min="7" max="16384" width="8.7265625" style="3"/>
  </cols>
  <sheetData>
    <row r="1" spans="1:7" x14ac:dyDescent="0.35">
      <c r="A1" s="199" t="s">
        <v>621</v>
      </c>
      <c r="B1" s="199" t="s">
        <v>622</v>
      </c>
      <c r="C1" s="199" t="s">
        <v>623</v>
      </c>
      <c r="D1" s="199" t="s">
        <v>624</v>
      </c>
      <c r="E1" s="199" t="s">
        <v>142</v>
      </c>
      <c r="F1" s="199" t="s">
        <v>625</v>
      </c>
      <c r="G1" s="199" t="s">
        <v>626</v>
      </c>
    </row>
    <row r="2" spans="1:7" x14ac:dyDescent="0.35">
      <c r="A2" s="3">
        <v>50066800</v>
      </c>
      <c r="B2" s="3" t="s">
        <v>627</v>
      </c>
      <c r="C2" s="3" t="s">
        <v>628</v>
      </c>
      <c r="D2" s="3" t="s">
        <v>98</v>
      </c>
      <c r="E2" s="200">
        <v>240.63</v>
      </c>
      <c r="F2" s="3" t="s">
        <v>99</v>
      </c>
      <c r="G2" s="7">
        <v>2.4300000000000002</v>
      </c>
    </row>
    <row r="3" spans="1:7" x14ac:dyDescent="0.35">
      <c r="A3" s="3">
        <v>50055400</v>
      </c>
      <c r="B3" s="3" t="s">
        <v>629</v>
      </c>
      <c r="C3" s="3" t="s">
        <v>630</v>
      </c>
      <c r="D3" s="3" t="s">
        <v>98</v>
      </c>
      <c r="E3" s="200">
        <v>167.14</v>
      </c>
      <c r="F3" s="3" t="s">
        <v>99</v>
      </c>
      <c r="G3" s="7">
        <v>2.72</v>
      </c>
    </row>
    <row r="4" spans="1:7" x14ac:dyDescent="0.35">
      <c r="A4" s="3">
        <v>50056200</v>
      </c>
      <c r="B4" s="3" t="s">
        <v>631</v>
      </c>
      <c r="C4" s="3" t="s">
        <v>632</v>
      </c>
      <c r="D4" s="3" t="s">
        <v>98</v>
      </c>
      <c r="E4" s="200">
        <v>10.37</v>
      </c>
      <c r="F4" s="3" t="s">
        <v>99</v>
      </c>
      <c r="G4" s="7">
        <v>2.38</v>
      </c>
    </row>
    <row r="5" spans="1:7" x14ac:dyDescent="0.35">
      <c r="A5" s="3">
        <v>50054800</v>
      </c>
      <c r="B5" s="3" t="s">
        <v>633</v>
      </c>
      <c r="C5" s="3" t="s">
        <v>634</v>
      </c>
      <c r="D5" s="3" t="s">
        <v>98</v>
      </c>
      <c r="E5" s="200">
        <v>173.74</v>
      </c>
      <c r="F5" s="3" t="s">
        <v>99</v>
      </c>
      <c r="G5" s="7">
        <v>2.09</v>
      </c>
    </row>
    <row r="6" spans="1:7" x14ac:dyDescent="0.35">
      <c r="A6" s="3">
        <v>50066100</v>
      </c>
      <c r="B6" s="3" t="s">
        <v>635</v>
      </c>
      <c r="C6" s="3" t="s">
        <v>636</v>
      </c>
      <c r="D6" s="3" t="s">
        <v>98</v>
      </c>
      <c r="E6" s="200">
        <v>236.47</v>
      </c>
      <c r="F6" s="3" t="s">
        <v>99</v>
      </c>
      <c r="G6" s="7">
        <v>2.1800000000000002</v>
      </c>
    </row>
    <row r="7" spans="1:7" x14ac:dyDescent="0.35">
      <c r="A7" s="3">
        <v>50059500</v>
      </c>
      <c r="B7" s="3" t="s">
        <v>637</v>
      </c>
      <c r="C7" s="3" t="s">
        <v>638</v>
      </c>
      <c r="D7" s="3" t="s">
        <v>98</v>
      </c>
      <c r="E7" s="200"/>
      <c r="F7" s="3" t="s">
        <v>99</v>
      </c>
      <c r="G7" s="7">
        <v>4.29</v>
      </c>
    </row>
    <row r="8" spans="1:7" x14ac:dyDescent="0.35">
      <c r="A8" s="3">
        <v>50062500</v>
      </c>
      <c r="B8" s="3" t="s">
        <v>639</v>
      </c>
      <c r="C8" s="3" t="s">
        <v>640</v>
      </c>
      <c r="D8" s="3" t="s">
        <v>98</v>
      </c>
      <c r="E8" s="200">
        <v>150.13</v>
      </c>
      <c r="F8" s="3" t="s">
        <v>99</v>
      </c>
      <c r="G8" s="7">
        <v>1.94</v>
      </c>
    </row>
    <row r="9" spans="1:7" x14ac:dyDescent="0.35">
      <c r="A9" s="3">
        <v>50058100</v>
      </c>
      <c r="B9" s="3" t="s">
        <v>641</v>
      </c>
      <c r="C9" s="3" t="s">
        <v>640</v>
      </c>
      <c r="D9" s="3" t="s">
        <v>98</v>
      </c>
      <c r="E9" s="200">
        <v>21.42</v>
      </c>
      <c r="F9" s="3" t="s">
        <v>99</v>
      </c>
      <c r="G9" s="7">
        <v>2.2999999999999998</v>
      </c>
    </row>
    <row r="10" spans="1:7" x14ac:dyDescent="0.35">
      <c r="A10" s="3">
        <v>50058300</v>
      </c>
      <c r="B10" s="3" t="s">
        <v>642</v>
      </c>
      <c r="C10" s="3" t="s">
        <v>640</v>
      </c>
      <c r="D10" s="3" t="s">
        <v>98</v>
      </c>
      <c r="E10" s="200">
        <v>11.02</v>
      </c>
      <c r="F10" s="3" t="s">
        <v>99</v>
      </c>
      <c r="G10" s="7">
        <v>2.46</v>
      </c>
    </row>
    <row r="11" spans="1:7" x14ac:dyDescent="0.35">
      <c r="A11" s="3">
        <v>50058200</v>
      </c>
      <c r="B11" s="3" t="s">
        <v>643</v>
      </c>
      <c r="C11" s="3" t="s">
        <v>640</v>
      </c>
      <c r="D11" s="3" t="s">
        <v>98</v>
      </c>
      <c r="E11" s="200">
        <v>9.7100000000000009</v>
      </c>
      <c r="F11" s="3" t="s">
        <v>99</v>
      </c>
      <c r="G11" s="7">
        <v>2.2999999999999998</v>
      </c>
    </row>
    <row r="12" spans="1:7" x14ac:dyDescent="0.35">
      <c r="A12" s="3">
        <v>50067100</v>
      </c>
      <c r="B12" s="3" t="s">
        <v>644</v>
      </c>
      <c r="C12" s="3" t="s">
        <v>640</v>
      </c>
      <c r="D12" s="3" t="s">
        <v>98</v>
      </c>
      <c r="E12" s="200">
        <v>18.57</v>
      </c>
      <c r="F12" s="3" t="s">
        <v>99</v>
      </c>
      <c r="G12" s="7">
        <v>1.69</v>
      </c>
    </row>
    <row r="13" spans="1:7" x14ac:dyDescent="0.35">
      <c r="A13" s="3">
        <v>50057500</v>
      </c>
      <c r="B13" s="3" t="s">
        <v>645</v>
      </c>
      <c r="C13" s="3" t="s">
        <v>646</v>
      </c>
      <c r="D13" s="3" t="s">
        <v>98</v>
      </c>
      <c r="E13" s="200">
        <v>9.4600000000000009</v>
      </c>
      <c r="F13" s="3" t="s">
        <v>99</v>
      </c>
      <c r="G13" s="7">
        <v>2.25</v>
      </c>
    </row>
    <row r="14" spans="1:7" x14ac:dyDescent="0.35">
      <c r="A14" s="3">
        <v>50060400</v>
      </c>
      <c r="B14" s="3" t="s">
        <v>647</v>
      </c>
      <c r="C14" s="3" t="s">
        <v>648</v>
      </c>
      <c r="D14" s="3" t="s">
        <v>98</v>
      </c>
      <c r="E14" s="200">
        <v>199.04</v>
      </c>
      <c r="F14" s="3" t="s">
        <v>99</v>
      </c>
      <c r="G14" s="7">
        <v>1.67</v>
      </c>
    </row>
    <row r="15" spans="1:7" x14ac:dyDescent="0.35">
      <c r="A15" s="3">
        <v>50060900</v>
      </c>
      <c r="B15" s="3" t="s">
        <v>649</v>
      </c>
      <c r="C15" s="3" t="s">
        <v>648</v>
      </c>
      <c r="D15" s="3" t="s">
        <v>98</v>
      </c>
      <c r="E15" s="200">
        <v>20.45</v>
      </c>
      <c r="F15" s="3" t="s">
        <v>99</v>
      </c>
      <c r="G15" s="7">
        <v>1.67</v>
      </c>
    </row>
    <row r="16" spans="1:7" x14ac:dyDescent="0.35">
      <c r="A16" s="3">
        <v>50061800</v>
      </c>
      <c r="B16" s="3" t="s">
        <v>650</v>
      </c>
      <c r="C16" s="3" t="s">
        <v>648</v>
      </c>
      <c r="D16" s="3" t="s">
        <v>98</v>
      </c>
      <c r="E16" s="200">
        <v>20.22</v>
      </c>
      <c r="F16" s="3" t="s">
        <v>99</v>
      </c>
      <c r="G16" s="7">
        <v>1.61</v>
      </c>
    </row>
    <row r="17" spans="1:7" x14ac:dyDescent="0.35">
      <c r="A17" s="3">
        <v>50061000</v>
      </c>
      <c r="B17" s="3" t="s">
        <v>651</v>
      </c>
      <c r="C17" s="3" t="s">
        <v>648</v>
      </c>
      <c r="D17" s="3" t="s">
        <v>98</v>
      </c>
      <c r="E17" s="200">
        <v>189.89</v>
      </c>
      <c r="F17" s="3" t="s">
        <v>99</v>
      </c>
      <c r="G17" s="7">
        <v>1.67</v>
      </c>
    </row>
    <row r="18" spans="1:7" x14ac:dyDescent="0.35">
      <c r="A18" s="3">
        <v>50061700</v>
      </c>
      <c r="B18" s="3" t="s">
        <v>652</v>
      </c>
      <c r="C18" s="3" t="s">
        <v>648</v>
      </c>
      <c r="D18" s="3" t="s">
        <v>98</v>
      </c>
      <c r="E18" s="200">
        <v>16.760000000000002</v>
      </c>
      <c r="F18" s="3" t="s">
        <v>99</v>
      </c>
      <c r="G18" s="7">
        <v>1.61</v>
      </c>
    </row>
    <row r="19" spans="1:7" x14ac:dyDescent="0.35">
      <c r="A19" s="3">
        <v>50058500</v>
      </c>
      <c r="B19" s="3" t="s">
        <v>653</v>
      </c>
      <c r="C19" s="3" t="s">
        <v>654</v>
      </c>
      <c r="D19" s="3" t="s">
        <v>98</v>
      </c>
      <c r="E19" s="200"/>
      <c r="F19" s="3" t="s">
        <v>99</v>
      </c>
      <c r="G19" s="7">
        <v>2.83</v>
      </c>
    </row>
    <row r="20" spans="1:7" x14ac:dyDescent="0.35">
      <c r="A20" s="3">
        <v>50061200</v>
      </c>
      <c r="B20" s="3" t="s">
        <v>655</v>
      </c>
      <c r="C20" s="3" t="s">
        <v>656</v>
      </c>
      <c r="D20" s="3" t="s">
        <v>98</v>
      </c>
      <c r="E20" s="200">
        <v>43.59</v>
      </c>
      <c r="F20" s="3" t="s">
        <v>99</v>
      </c>
      <c r="G20" s="7">
        <v>2.3199999999999998</v>
      </c>
    </row>
    <row r="21" spans="1:7" x14ac:dyDescent="0.35">
      <c r="A21" s="3">
        <v>50066300</v>
      </c>
      <c r="B21" s="3" t="s">
        <v>657</v>
      </c>
      <c r="C21" s="3" t="s">
        <v>656</v>
      </c>
      <c r="D21" s="3" t="s">
        <v>98</v>
      </c>
      <c r="E21" s="200">
        <v>50.23</v>
      </c>
      <c r="F21" s="3" t="s">
        <v>99</v>
      </c>
      <c r="G21" s="7">
        <v>2.4300000000000002</v>
      </c>
    </row>
    <row r="22" spans="1:7" x14ac:dyDescent="0.35">
      <c r="A22" s="3">
        <v>50066400</v>
      </c>
      <c r="B22" s="3" t="s">
        <v>658</v>
      </c>
      <c r="C22" s="3" t="s">
        <v>656</v>
      </c>
      <c r="D22" s="3" t="s">
        <v>98</v>
      </c>
      <c r="E22" s="200">
        <v>48.21</v>
      </c>
      <c r="F22" s="3" t="s">
        <v>99</v>
      </c>
      <c r="G22" s="7">
        <v>2.4300000000000002</v>
      </c>
    </row>
    <row r="23" spans="1:7" x14ac:dyDescent="0.35">
      <c r="A23" s="3">
        <v>50062000</v>
      </c>
      <c r="B23" s="3" t="s">
        <v>659</v>
      </c>
      <c r="C23" s="3" t="s">
        <v>660</v>
      </c>
      <c r="D23" s="3" t="s">
        <v>98</v>
      </c>
      <c r="E23" s="200">
        <v>45.96</v>
      </c>
      <c r="F23" s="3" t="s">
        <v>99</v>
      </c>
      <c r="G23" s="7">
        <v>1.21</v>
      </c>
    </row>
    <row r="24" spans="1:7" x14ac:dyDescent="0.35">
      <c r="A24" s="3">
        <v>50061900</v>
      </c>
      <c r="B24" s="3" t="s">
        <v>661</v>
      </c>
      <c r="C24" s="3" t="s">
        <v>660</v>
      </c>
      <c r="D24" s="3" t="s">
        <v>98</v>
      </c>
      <c r="E24" s="200">
        <v>47.17</v>
      </c>
      <c r="F24" s="3" t="s">
        <v>99</v>
      </c>
      <c r="G24" s="7">
        <v>1.21</v>
      </c>
    </row>
    <row r="25" spans="1:7" x14ac:dyDescent="0.35">
      <c r="A25" s="3">
        <v>50062400</v>
      </c>
      <c r="B25" s="3" t="s">
        <v>662</v>
      </c>
      <c r="C25" s="3" t="s">
        <v>663</v>
      </c>
      <c r="D25" s="3" t="s">
        <v>98</v>
      </c>
      <c r="E25" s="200">
        <v>15.05</v>
      </c>
      <c r="F25" s="3" t="s">
        <v>99</v>
      </c>
      <c r="G25" s="7">
        <v>1.3</v>
      </c>
    </row>
    <row r="26" spans="1:7" x14ac:dyDescent="0.35">
      <c r="A26" s="3">
        <v>50062300</v>
      </c>
      <c r="B26" s="3" t="s">
        <v>664</v>
      </c>
      <c r="C26" s="3" t="s">
        <v>663</v>
      </c>
      <c r="D26" s="3" t="s">
        <v>98</v>
      </c>
      <c r="E26" s="200">
        <v>172.63</v>
      </c>
      <c r="F26" s="3" t="s">
        <v>99</v>
      </c>
      <c r="G26" s="7">
        <v>1.3</v>
      </c>
    </row>
    <row r="27" spans="1:7" x14ac:dyDescent="0.35">
      <c r="A27" s="3">
        <v>50062200</v>
      </c>
      <c r="B27" s="3" t="s">
        <v>665</v>
      </c>
      <c r="C27" s="3" t="s">
        <v>663</v>
      </c>
      <c r="D27" s="3" t="s">
        <v>98</v>
      </c>
      <c r="E27" s="200">
        <v>135.21</v>
      </c>
      <c r="F27" s="3" t="s">
        <v>99</v>
      </c>
      <c r="G27" s="7">
        <v>1.3</v>
      </c>
    </row>
    <row r="28" spans="1:7" x14ac:dyDescent="0.35">
      <c r="A28" s="3">
        <v>50061600</v>
      </c>
      <c r="B28" s="3" t="s">
        <v>666</v>
      </c>
      <c r="C28" s="3" t="s">
        <v>663</v>
      </c>
      <c r="D28" s="3" t="s">
        <v>98</v>
      </c>
      <c r="E28" s="200">
        <v>172.85</v>
      </c>
      <c r="F28" s="3" t="s">
        <v>99</v>
      </c>
      <c r="G28" s="7">
        <v>1.3</v>
      </c>
    </row>
    <row r="29" spans="1:7" x14ac:dyDescent="0.35">
      <c r="A29" s="3">
        <v>50061500</v>
      </c>
      <c r="B29" s="3" t="s">
        <v>667</v>
      </c>
      <c r="C29" s="3" t="s">
        <v>663</v>
      </c>
      <c r="D29" s="3" t="s">
        <v>98</v>
      </c>
      <c r="E29" s="200">
        <v>167.99</v>
      </c>
      <c r="F29" s="3" t="s">
        <v>99</v>
      </c>
      <c r="G29" s="7">
        <v>1.3</v>
      </c>
    </row>
    <row r="30" spans="1:7" x14ac:dyDescent="0.35">
      <c r="A30" s="3">
        <v>50062100</v>
      </c>
      <c r="B30" s="3" t="s">
        <v>668</v>
      </c>
      <c r="C30" s="3" t="s">
        <v>663</v>
      </c>
      <c r="D30" s="3" t="s">
        <v>98</v>
      </c>
      <c r="E30" s="200">
        <v>35.6</v>
      </c>
      <c r="F30" s="3" t="s">
        <v>99</v>
      </c>
      <c r="G30" s="7">
        <v>1.3</v>
      </c>
    </row>
    <row r="31" spans="1:7" x14ac:dyDescent="0.35">
      <c r="A31" s="3">
        <v>50062600</v>
      </c>
      <c r="B31" s="3" t="s">
        <v>669</v>
      </c>
      <c r="C31" s="3" t="s">
        <v>663</v>
      </c>
      <c r="D31" s="3" t="s">
        <v>98</v>
      </c>
      <c r="E31" s="200">
        <v>43.42</v>
      </c>
      <c r="F31" s="3" t="s">
        <v>99</v>
      </c>
      <c r="G31" s="7">
        <v>1.3</v>
      </c>
    </row>
    <row r="32" spans="1:7" x14ac:dyDescent="0.35">
      <c r="A32" s="3">
        <v>50062700</v>
      </c>
      <c r="B32" s="3" t="s">
        <v>670</v>
      </c>
      <c r="C32" s="3" t="s">
        <v>663</v>
      </c>
      <c r="D32" s="3" t="s">
        <v>98</v>
      </c>
      <c r="E32" s="200">
        <v>42.57</v>
      </c>
      <c r="F32" s="3" t="s">
        <v>99</v>
      </c>
      <c r="G32" s="7">
        <v>1.3</v>
      </c>
    </row>
    <row r="33" spans="1:7" x14ac:dyDescent="0.35">
      <c r="A33" s="3">
        <v>50059900</v>
      </c>
      <c r="B33" s="3" t="s">
        <v>671</v>
      </c>
      <c r="C33" s="3" t="s">
        <v>672</v>
      </c>
      <c r="D33" s="3" t="s">
        <v>98</v>
      </c>
      <c r="E33" s="200">
        <v>9.5</v>
      </c>
      <c r="F33" s="3" t="s">
        <v>99</v>
      </c>
      <c r="G33" s="7">
        <v>1.17</v>
      </c>
    </row>
    <row r="34" spans="1:7" x14ac:dyDescent="0.35">
      <c r="A34" s="3">
        <v>50060500</v>
      </c>
      <c r="B34" s="3" t="s">
        <v>673</v>
      </c>
      <c r="C34" s="3" t="s">
        <v>672</v>
      </c>
      <c r="D34" s="3" t="s">
        <v>98</v>
      </c>
      <c r="E34" s="200">
        <v>182.88</v>
      </c>
      <c r="F34" s="3" t="s">
        <v>99</v>
      </c>
      <c r="G34" s="7">
        <v>1.17</v>
      </c>
    </row>
    <row r="35" spans="1:7" x14ac:dyDescent="0.35">
      <c r="A35" s="3">
        <v>50066500</v>
      </c>
      <c r="B35" s="3" t="s">
        <v>674</v>
      </c>
      <c r="C35" s="3" t="s">
        <v>672</v>
      </c>
      <c r="D35" s="3" t="s">
        <v>98</v>
      </c>
      <c r="E35" s="200">
        <v>195.54</v>
      </c>
      <c r="F35" s="3" t="s">
        <v>99</v>
      </c>
      <c r="G35" s="7">
        <v>1.02</v>
      </c>
    </row>
    <row r="36" spans="1:7" x14ac:dyDescent="0.35">
      <c r="A36" s="3">
        <v>50060300</v>
      </c>
      <c r="B36" s="3" t="s">
        <v>675</v>
      </c>
      <c r="C36" s="3" t="s">
        <v>672</v>
      </c>
      <c r="D36" s="3" t="s">
        <v>98</v>
      </c>
      <c r="E36" s="200">
        <v>40.03</v>
      </c>
      <c r="F36" s="3" t="s">
        <v>99</v>
      </c>
      <c r="G36" s="7">
        <v>1.17</v>
      </c>
    </row>
    <row r="37" spans="1:7" x14ac:dyDescent="0.35">
      <c r="A37" s="3">
        <v>50060200</v>
      </c>
      <c r="B37" s="3" t="s">
        <v>676</v>
      </c>
      <c r="C37" s="3" t="s">
        <v>672</v>
      </c>
      <c r="D37" s="3" t="s">
        <v>98</v>
      </c>
      <c r="E37" s="200">
        <v>204.5</v>
      </c>
      <c r="F37" s="3" t="s">
        <v>99</v>
      </c>
      <c r="G37" s="7">
        <v>1.17</v>
      </c>
    </row>
    <row r="38" spans="1:7" x14ac:dyDescent="0.35">
      <c r="A38" s="3">
        <v>50060000</v>
      </c>
      <c r="B38" s="3" t="s">
        <v>677</v>
      </c>
      <c r="C38" s="3" t="s">
        <v>672</v>
      </c>
      <c r="D38" s="3" t="s">
        <v>98</v>
      </c>
      <c r="E38" s="200">
        <v>179.83</v>
      </c>
      <c r="F38" s="3" t="s">
        <v>99</v>
      </c>
      <c r="G38" s="7">
        <v>1.17</v>
      </c>
    </row>
    <row r="39" spans="1:7" x14ac:dyDescent="0.3">
      <c r="A39" s="3">
        <v>50060100</v>
      </c>
      <c r="B39" s="3" t="s">
        <v>678</v>
      </c>
      <c r="C39" s="3" t="s">
        <v>672</v>
      </c>
      <c r="D39" s="3" t="s">
        <v>98</v>
      </c>
      <c r="E39" s="201">
        <v>155.44</v>
      </c>
      <c r="F39" s="3" t="s">
        <v>99</v>
      </c>
      <c r="G39" s="7">
        <v>1.17</v>
      </c>
    </row>
    <row r="40" spans="1:7" x14ac:dyDescent="0.3">
      <c r="A40" s="3">
        <v>50060600</v>
      </c>
      <c r="B40" s="3" t="s">
        <v>679</v>
      </c>
      <c r="C40" s="3" t="s">
        <v>672</v>
      </c>
      <c r="D40" s="3" t="s">
        <v>98</v>
      </c>
      <c r="E40" s="201">
        <v>153.28</v>
      </c>
      <c r="F40" s="3" t="s">
        <v>99</v>
      </c>
      <c r="G40" s="7">
        <v>1.17</v>
      </c>
    </row>
    <row r="41" spans="1:7" x14ac:dyDescent="0.3">
      <c r="A41" s="3">
        <v>50061100</v>
      </c>
      <c r="B41" s="3" t="s">
        <v>680</v>
      </c>
      <c r="C41" s="3" t="s">
        <v>672</v>
      </c>
      <c r="D41" s="3" t="s">
        <v>98</v>
      </c>
      <c r="E41" s="201">
        <v>45.61</v>
      </c>
      <c r="F41" s="3" t="s">
        <v>99</v>
      </c>
      <c r="G41" s="7">
        <v>1.17</v>
      </c>
    </row>
    <row r="42" spans="1:7" x14ac:dyDescent="0.3">
      <c r="A42" s="3">
        <v>50060700</v>
      </c>
      <c r="B42" s="3" t="s">
        <v>681</v>
      </c>
      <c r="C42" s="3" t="s">
        <v>672</v>
      </c>
      <c r="D42" s="3" t="s">
        <v>98</v>
      </c>
      <c r="E42" s="201">
        <v>41.62</v>
      </c>
      <c r="F42" s="3" t="s">
        <v>99</v>
      </c>
      <c r="G42" s="7">
        <v>1.17</v>
      </c>
    </row>
    <row r="43" spans="1:7" x14ac:dyDescent="0.3">
      <c r="A43" s="3">
        <v>50060800</v>
      </c>
      <c r="B43" s="3" t="s">
        <v>682</v>
      </c>
      <c r="C43" s="3" t="s">
        <v>672</v>
      </c>
      <c r="D43" s="3" t="s">
        <v>98</v>
      </c>
      <c r="E43" s="201">
        <v>36.6</v>
      </c>
      <c r="F43" s="3" t="s">
        <v>99</v>
      </c>
      <c r="G43" s="7">
        <v>1.17</v>
      </c>
    </row>
    <row r="44" spans="1:7" x14ac:dyDescent="0.3">
      <c r="A44" s="3">
        <v>50066700</v>
      </c>
      <c r="B44" s="3" t="s">
        <v>683</v>
      </c>
      <c r="C44" s="3" t="s">
        <v>672</v>
      </c>
      <c r="D44" s="3" t="s">
        <v>98</v>
      </c>
      <c r="E44" s="201">
        <v>45.89</v>
      </c>
      <c r="F44" s="3" t="s">
        <v>99</v>
      </c>
      <c r="G44" s="7">
        <v>1.02</v>
      </c>
    </row>
    <row r="45" spans="1:7" x14ac:dyDescent="0.3">
      <c r="A45" s="3">
        <v>50066600</v>
      </c>
      <c r="B45" s="3" t="s">
        <v>684</v>
      </c>
      <c r="C45" s="3" t="s">
        <v>672</v>
      </c>
      <c r="D45" s="3" t="s">
        <v>98</v>
      </c>
      <c r="E45" s="201">
        <v>46.13</v>
      </c>
      <c r="F45" s="3" t="s">
        <v>99</v>
      </c>
      <c r="G45" s="7">
        <v>1.02</v>
      </c>
    </row>
    <row r="46" spans="1:7" x14ac:dyDescent="0.3">
      <c r="A46" s="3">
        <v>50059200</v>
      </c>
      <c r="B46" s="3" t="s">
        <v>685</v>
      </c>
      <c r="C46" s="3" t="s">
        <v>672</v>
      </c>
      <c r="D46" s="3" t="s">
        <v>98</v>
      </c>
      <c r="E46" s="201">
        <v>34.909999999999997</v>
      </c>
      <c r="F46" s="3" t="s">
        <v>99</v>
      </c>
      <c r="G46" s="7">
        <v>1.42</v>
      </c>
    </row>
    <row r="47" spans="1:7" x14ac:dyDescent="0.3">
      <c r="A47" s="3">
        <v>45325800</v>
      </c>
      <c r="B47" s="3" t="s">
        <v>686</v>
      </c>
      <c r="C47" s="3" t="s">
        <v>687</v>
      </c>
      <c r="D47" s="3" t="s">
        <v>98</v>
      </c>
      <c r="E47" s="201">
        <v>196.14</v>
      </c>
      <c r="F47" s="3" t="s">
        <v>99</v>
      </c>
      <c r="G47" s="7">
        <v>9.68</v>
      </c>
    </row>
    <row r="48" spans="1:7" x14ac:dyDescent="0.3">
      <c r="A48" s="3">
        <v>45325700</v>
      </c>
      <c r="B48" s="3" t="s">
        <v>688</v>
      </c>
      <c r="C48" s="3" t="s">
        <v>687</v>
      </c>
      <c r="D48" s="3" t="s">
        <v>98</v>
      </c>
      <c r="E48" s="201">
        <v>209.93</v>
      </c>
      <c r="F48" s="3" t="s">
        <v>99</v>
      </c>
      <c r="G48" s="7">
        <v>9.68</v>
      </c>
    </row>
    <row r="49" spans="1:7" x14ac:dyDescent="0.3">
      <c r="A49" s="3">
        <v>50039900</v>
      </c>
      <c r="B49" s="3" t="s">
        <v>689</v>
      </c>
      <c r="C49" s="3" t="s">
        <v>687</v>
      </c>
      <c r="D49" s="3" t="s">
        <v>98</v>
      </c>
      <c r="E49" s="201">
        <v>207.02</v>
      </c>
      <c r="F49" s="3" t="s">
        <v>99</v>
      </c>
      <c r="G49" s="7">
        <v>9.68</v>
      </c>
    </row>
    <row r="50" spans="1:7" x14ac:dyDescent="0.3">
      <c r="A50" s="3">
        <v>45251200</v>
      </c>
      <c r="B50" s="3" t="s">
        <v>690</v>
      </c>
      <c r="C50" s="3" t="s">
        <v>691</v>
      </c>
      <c r="D50" s="3" t="s">
        <v>98</v>
      </c>
      <c r="E50" s="201">
        <v>248.26</v>
      </c>
      <c r="F50" s="3" t="s">
        <v>99</v>
      </c>
      <c r="G50" s="7">
        <v>8.35</v>
      </c>
    </row>
    <row r="51" spans="1:7" x14ac:dyDescent="0.3">
      <c r="A51" s="3">
        <v>45223900</v>
      </c>
      <c r="B51" s="3" t="s">
        <v>692</v>
      </c>
      <c r="C51" s="3" t="s">
        <v>693</v>
      </c>
      <c r="D51" s="3" t="s">
        <v>98</v>
      </c>
      <c r="E51" s="201">
        <v>249.27</v>
      </c>
      <c r="F51" s="3" t="s">
        <v>99</v>
      </c>
      <c r="G51" s="7">
        <v>8.35</v>
      </c>
    </row>
    <row r="52" spans="1:7" x14ac:dyDescent="0.3">
      <c r="A52" s="3">
        <v>45340000</v>
      </c>
      <c r="B52" s="3" t="s">
        <v>694</v>
      </c>
      <c r="C52" s="3" t="s">
        <v>693</v>
      </c>
      <c r="D52" s="3" t="s">
        <v>98</v>
      </c>
      <c r="E52" s="201">
        <v>269.42</v>
      </c>
      <c r="F52" s="3" t="s">
        <v>99</v>
      </c>
      <c r="G52" s="7">
        <v>8.35</v>
      </c>
    </row>
    <row r="53" spans="1:7" x14ac:dyDescent="0.3">
      <c r="A53" s="3">
        <v>50055500</v>
      </c>
      <c r="B53" s="3" t="s">
        <v>695</v>
      </c>
      <c r="C53" s="3" t="s">
        <v>696</v>
      </c>
      <c r="D53" s="3" t="s">
        <v>98</v>
      </c>
      <c r="E53" s="201">
        <v>270.02</v>
      </c>
      <c r="F53" s="3" t="s">
        <v>99</v>
      </c>
      <c r="G53" s="7">
        <v>7.37</v>
      </c>
    </row>
    <row r="54" spans="1:7" x14ac:dyDescent="0.3">
      <c r="A54" s="3">
        <v>50030000</v>
      </c>
      <c r="B54" s="3" t="s">
        <v>697</v>
      </c>
      <c r="C54" s="3" t="s">
        <v>698</v>
      </c>
      <c r="D54" s="3" t="s">
        <v>98</v>
      </c>
      <c r="E54" s="201">
        <v>264.3</v>
      </c>
      <c r="F54" s="3" t="s">
        <v>99</v>
      </c>
      <c r="G54" s="7">
        <v>8.35</v>
      </c>
    </row>
    <row r="55" spans="1:7" x14ac:dyDescent="0.3">
      <c r="A55" s="3">
        <v>50062896</v>
      </c>
      <c r="B55" s="3" t="s">
        <v>699</v>
      </c>
      <c r="C55" s="3" t="s">
        <v>700</v>
      </c>
      <c r="D55" s="3" t="s">
        <v>98</v>
      </c>
      <c r="E55" s="201">
        <v>324.8</v>
      </c>
      <c r="F55" s="3" t="s">
        <v>99</v>
      </c>
      <c r="G55" s="7">
        <v>3.74</v>
      </c>
    </row>
    <row r="56" spans="1:7" x14ac:dyDescent="0.3">
      <c r="A56" s="3">
        <v>50062996</v>
      </c>
      <c r="B56" s="3" t="s">
        <v>701</v>
      </c>
      <c r="C56" s="3" t="s">
        <v>700</v>
      </c>
      <c r="D56" s="3" t="s">
        <v>98</v>
      </c>
      <c r="E56" s="201">
        <v>359.96</v>
      </c>
      <c r="F56" s="3" t="s">
        <v>99</v>
      </c>
      <c r="G56" s="7">
        <v>3.74</v>
      </c>
    </row>
    <row r="57" spans="1:7" x14ac:dyDescent="0.3">
      <c r="A57" s="3">
        <v>50063096</v>
      </c>
      <c r="B57" s="3" t="s">
        <v>702</v>
      </c>
      <c r="C57" s="3" t="s">
        <v>700</v>
      </c>
      <c r="D57" s="3" t="s">
        <v>98</v>
      </c>
      <c r="E57" s="201">
        <v>284.81</v>
      </c>
      <c r="F57" s="3" t="s">
        <v>99</v>
      </c>
      <c r="G57" s="7">
        <v>3.74</v>
      </c>
    </row>
    <row r="58" spans="1:7" x14ac:dyDescent="0.3">
      <c r="A58" s="3">
        <v>50063196</v>
      </c>
      <c r="B58" s="3" t="s">
        <v>703</v>
      </c>
      <c r="C58" s="3" t="s">
        <v>700</v>
      </c>
      <c r="D58" s="3" t="s">
        <v>98</v>
      </c>
      <c r="E58" s="201">
        <v>342.34</v>
      </c>
      <c r="F58" s="3" t="s">
        <v>99</v>
      </c>
      <c r="G58" s="7">
        <v>3.74</v>
      </c>
    </row>
    <row r="59" spans="1:7" x14ac:dyDescent="0.3">
      <c r="A59" s="3">
        <v>50063296</v>
      </c>
      <c r="B59" s="3" t="s">
        <v>704</v>
      </c>
      <c r="C59" s="3" t="s">
        <v>700</v>
      </c>
      <c r="D59" s="3" t="s">
        <v>98</v>
      </c>
      <c r="E59" s="201">
        <v>301.62</v>
      </c>
      <c r="F59" s="3" t="s">
        <v>99</v>
      </c>
      <c r="G59" s="7">
        <v>3.74</v>
      </c>
    </row>
    <row r="60" spans="1:7" x14ac:dyDescent="0.3">
      <c r="A60" s="3">
        <v>50063396</v>
      </c>
      <c r="B60" s="3" t="s">
        <v>705</v>
      </c>
      <c r="C60" s="3" t="s">
        <v>700</v>
      </c>
      <c r="D60" s="3" t="s">
        <v>98</v>
      </c>
      <c r="E60" s="201">
        <v>324.3</v>
      </c>
      <c r="F60" s="3" t="s">
        <v>99</v>
      </c>
      <c r="G60" s="7">
        <v>3.74</v>
      </c>
    </row>
    <row r="61" spans="1:7" x14ac:dyDescent="0.3">
      <c r="A61" s="3">
        <v>50065696</v>
      </c>
      <c r="B61" s="3" t="s">
        <v>706</v>
      </c>
      <c r="C61" s="3" t="s">
        <v>700</v>
      </c>
      <c r="D61" s="3" t="s">
        <v>98</v>
      </c>
      <c r="E61" s="201">
        <v>203.77</v>
      </c>
      <c r="F61" s="3" t="s">
        <v>99</v>
      </c>
      <c r="G61" s="7">
        <v>2.96</v>
      </c>
    </row>
    <row r="62" spans="1:7" x14ac:dyDescent="0.3">
      <c r="A62" s="3">
        <v>50065296</v>
      </c>
      <c r="B62" s="3" t="s">
        <v>707</v>
      </c>
      <c r="C62" s="3" t="s">
        <v>700</v>
      </c>
      <c r="D62" s="3" t="s">
        <v>98</v>
      </c>
      <c r="E62" s="201">
        <v>210.54</v>
      </c>
      <c r="F62" s="3" t="s">
        <v>99</v>
      </c>
      <c r="G62" s="7">
        <v>2.96</v>
      </c>
    </row>
    <row r="63" spans="1:7" x14ac:dyDescent="0.3">
      <c r="A63" s="3">
        <v>50065096</v>
      </c>
      <c r="B63" s="3" t="s">
        <v>708</v>
      </c>
      <c r="C63" s="3" t="s">
        <v>700</v>
      </c>
      <c r="D63" s="3" t="s">
        <v>98</v>
      </c>
      <c r="E63" s="201">
        <v>205.71</v>
      </c>
      <c r="F63" s="3" t="s">
        <v>99</v>
      </c>
      <c r="G63" s="7">
        <v>2.96</v>
      </c>
    </row>
    <row r="64" spans="1:7" x14ac:dyDescent="0.3">
      <c r="A64" s="3">
        <v>50064896</v>
      </c>
      <c r="B64" s="3" t="s">
        <v>709</v>
      </c>
      <c r="C64" s="3" t="s">
        <v>700</v>
      </c>
      <c r="D64" s="3" t="s">
        <v>98</v>
      </c>
      <c r="E64" s="201">
        <v>183.25</v>
      </c>
      <c r="F64" s="3" t="s">
        <v>99</v>
      </c>
      <c r="G64" s="7">
        <v>2.96</v>
      </c>
    </row>
    <row r="65" spans="1:7" x14ac:dyDescent="0.3">
      <c r="A65" s="3">
        <v>50064396</v>
      </c>
      <c r="B65" s="3" t="s">
        <v>710</v>
      </c>
      <c r="C65" s="3" t="s">
        <v>700</v>
      </c>
      <c r="D65" s="3" t="s">
        <v>98</v>
      </c>
      <c r="E65" s="201">
        <v>240.88</v>
      </c>
      <c r="F65" s="3" t="s">
        <v>99</v>
      </c>
      <c r="G65" s="7">
        <v>3.32</v>
      </c>
    </row>
    <row r="66" spans="1:7" x14ac:dyDescent="0.3">
      <c r="A66" s="3">
        <v>50065196</v>
      </c>
      <c r="B66" s="3" t="s">
        <v>711</v>
      </c>
      <c r="C66" s="3" t="s">
        <v>700</v>
      </c>
      <c r="D66" s="3" t="s">
        <v>98</v>
      </c>
      <c r="E66" s="201">
        <v>235.51</v>
      </c>
      <c r="F66" s="3" t="s">
        <v>99</v>
      </c>
      <c r="G66" s="7">
        <v>3.32</v>
      </c>
    </row>
    <row r="67" spans="1:7" x14ac:dyDescent="0.3">
      <c r="A67" s="3">
        <v>50064596</v>
      </c>
      <c r="B67" s="3" t="s">
        <v>712</v>
      </c>
      <c r="C67" s="3" t="s">
        <v>700</v>
      </c>
      <c r="D67" s="3" t="s">
        <v>98</v>
      </c>
      <c r="E67" s="201">
        <v>226.42</v>
      </c>
      <c r="F67" s="3" t="s">
        <v>99</v>
      </c>
      <c r="G67" s="7">
        <v>3.32</v>
      </c>
    </row>
    <row r="68" spans="1:7" x14ac:dyDescent="0.3">
      <c r="A68" s="3">
        <v>50064196</v>
      </c>
      <c r="B68" s="3" t="s">
        <v>713</v>
      </c>
      <c r="C68" s="3" t="s">
        <v>700</v>
      </c>
      <c r="D68" s="3" t="s">
        <v>98</v>
      </c>
      <c r="E68" s="201">
        <v>241.96</v>
      </c>
      <c r="F68" s="3" t="s">
        <v>99</v>
      </c>
      <c r="G68" s="7">
        <v>3.32</v>
      </c>
    </row>
    <row r="69" spans="1:7" x14ac:dyDescent="0.3">
      <c r="A69" s="3">
        <v>50064096</v>
      </c>
      <c r="B69" s="3" t="s">
        <v>714</v>
      </c>
      <c r="C69" s="3" t="s">
        <v>700</v>
      </c>
      <c r="D69" s="3" t="s">
        <v>98</v>
      </c>
      <c r="E69" s="201">
        <v>229.55</v>
      </c>
      <c r="F69" s="3" t="s">
        <v>99</v>
      </c>
      <c r="G69" s="7">
        <v>3.32</v>
      </c>
    </row>
    <row r="70" spans="1:7" x14ac:dyDescent="0.3">
      <c r="A70" s="3">
        <v>50065396</v>
      </c>
      <c r="B70" s="3" t="s">
        <v>715</v>
      </c>
      <c r="C70" s="3" t="s">
        <v>700</v>
      </c>
      <c r="D70" s="3" t="s">
        <v>98</v>
      </c>
      <c r="E70" s="201">
        <v>222.28</v>
      </c>
      <c r="F70" s="3" t="s">
        <v>99</v>
      </c>
      <c r="G70" s="7">
        <v>3.42</v>
      </c>
    </row>
    <row r="71" spans="1:7" x14ac:dyDescent="0.3">
      <c r="A71" s="3">
        <v>50064996</v>
      </c>
      <c r="B71" s="3" t="s">
        <v>716</v>
      </c>
      <c r="C71" s="3" t="s">
        <v>700</v>
      </c>
      <c r="D71" s="3" t="s">
        <v>98</v>
      </c>
      <c r="E71" s="201">
        <v>204.34</v>
      </c>
      <c r="F71" s="3" t="s">
        <v>99</v>
      </c>
      <c r="G71" s="7">
        <v>3.42</v>
      </c>
    </row>
    <row r="72" spans="1:7" x14ac:dyDescent="0.3">
      <c r="A72" s="3">
        <v>50064796</v>
      </c>
      <c r="B72" s="3" t="s">
        <v>717</v>
      </c>
      <c r="C72" s="3" t="s">
        <v>700</v>
      </c>
      <c r="D72" s="3" t="s">
        <v>98</v>
      </c>
      <c r="E72" s="201">
        <v>223.75</v>
      </c>
      <c r="F72" s="3" t="s">
        <v>99</v>
      </c>
      <c r="G72" s="7">
        <v>3.42</v>
      </c>
    </row>
    <row r="73" spans="1:7" x14ac:dyDescent="0.3">
      <c r="A73" s="3">
        <v>50064496</v>
      </c>
      <c r="B73" s="3" t="s">
        <v>718</v>
      </c>
      <c r="C73" s="3" t="s">
        <v>700</v>
      </c>
      <c r="D73" s="3" t="s">
        <v>98</v>
      </c>
      <c r="E73" s="201">
        <v>221.73</v>
      </c>
      <c r="F73" s="3" t="s">
        <v>99</v>
      </c>
      <c r="G73" s="7">
        <v>3.42</v>
      </c>
    </row>
    <row r="74" spans="1:7" x14ac:dyDescent="0.3">
      <c r="A74" s="3">
        <v>50064296</v>
      </c>
      <c r="B74" s="3" t="s">
        <v>719</v>
      </c>
      <c r="C74" s="3" t="s">
        <v>700</v>
      </c>
      <c r="D74" s="3" t="s">
        <v>98</v>
      </c>
      <c r="E74" s="201">
        <v>218.51</v>
      </c>
      <c r="F74" s="3" t="s">
        <v>99</v>
      </c>
      <c r="G74" s="7">
        <v>3.42</v>
      </c>
    </row>
    <row r="75" spans="1:7" x14ac:dyDescent="0.3">
      <c r="A75" s="3">
        <v>50065596</v>
      </c>
      <c r="B75" s="3" t="s">
        <v>720</v>
      </c>
      <c r="C75" s="3" t="s">
        <v>700</v>
      </c>
      <c r="D75" s="3" t="s">
        <v>98</v>
      </c>
      <c r="E75" s="201">
        <v>228.49</v>
      </c>
      <c r="F75" s="3" t="s">
        <v>99</v>
      </c>
      <c r="G75" s="7">
        <v>3.42</v>
      </c>
    </row>
    <row r="76" spans="1:7" x14ac:dyDescent="0.3">
      <c r="A76" s="3">
        <v>50066200</v>
      </c>
      <c r="B76" s="3" t="s">
        <v>721</v>
      </c>
      <c r="C76" s="3" t="s">
        <v>722</v>
      </c>
      <c r="D76" s="3" t="s">
        <v>98</v>
      </c>
      <c r="E76" s="201">
        <v>137.13</v>
      </c>
      <c r="F76" s="3" t="s">
        <v>99</v>
      </c>
      <c r="G76" s="7">
        <v>2.5099999999999998</v>
      </c>
    </row>
    <row r="77" spans="1:7" x14ac:dyDescent="0.3">
      <c r="A77" s="3">
        <v>50067000</v>
      </c>
      <c r="B77" s="3" t="s">
        <v>723</v>
      </c>
      <c r="C77" s="3" t="s">
        <v>724</v>
      </c>
      <c r="D77" s="3" t="s">
        <v>98</v>
      </c>
      <c r="E77" s="201">
        <v>262.33</v>
      </c>
      <c r="F77" s="3" t="s">
        <v>99</v>
      </c>
      <c r="G77" s="7">
        <v>3.77</v>
      </c>
    </row>
    <row r="78" spans="1:7" x14ac:dyDescent="0.3">
      <c r="A78" s="3">
        <v>50032300</v>
      </c>
      <c r="B78" s="3" t="s">
        <v>725</v>
      </c>
      <c r="C78" s="3" t="s">
        <v>726</v>
      </c>
      <c r="D78" s="3" t="s">
        <v>98</v>
      </c>
      <c r="E78" s="201">
        <v>148.71</v>
      </c>
      <c r="F78" s="3" t="s">
        <v>99</v>
      </c>
      <c r="G78" s="7">
        <v>7.64</v>
      </c>
    </row>
    <row r="79" spans="1:7" x14ac:dyDescent="0.3">
      <c r="A79" s="3">
        <v>50054400</v>
      </c>
      <c r="B79" s="3" t="s">
        <v>727</v>
      </c>
      <c r="C79" s="3" t="s">
        <v>726</v>
      </c>
      <c r="D79" s="3" t="s">
        <v>98</v>
      </c>
      <c r="E79" s="201">
        <v>230.27</v>
      </c>
      <c r="F79" s="3" t="s">
        <v>99</v>
      </c>
      <c r="G79" s="7">
        <v>7.46</v>
      </c>
    </row>
    <row r="80" spans="1:7" x14ac:dyDescent="0.3">
      <c r="A80" s="3">
        <v>50038200</v>
      </c>
      <c r="B80" s="3" t="s">
        <v>728</v>
      </c>
      <c r="C80" s="3" t="s">
        <v>729</v>
      </c>
      <c r="D80" s="3" t="s">
        <v>98</v>
      </c>
      <c r="E80" s="202">
        <v>216.75</v>
      </c>
      <c r="F80" s="3" t="s">
        <v>99</v>
      </c>
      <c r="G80" s="7">
        <v>5.22</v>
      </c>
    </row>
    <row r="81" spans="1:7" x14ac:dyDescent="0.3">
      <c r="A81" s="3">
        <v>50038100</v>
      </c>
      <c r="B81" s="3" t="s">
        <v>730</v>
      </c>
      <c r="C81" s="3" t="s">
        <v>729</v>
      </c>
      <c r="D81" s="3" t="s">
        <v>98</v>
      </c>
      <c r="E81" s="202">
        <v>205.94</v>
      </c>
      <c r="F81" s="3" t="s">
        <v>99</v>
      </c>
      <c r="G81" s="7">
        <v>5.0999999999999996</v>
      </c>
    </row>
    <row r="82" spans="1:7" x14ac:dyDescent="0.3">
      <c r="A82" s="3">
        <v>50054900</v>
      </c>
      <c r="B82" s="3" t="s">
        <v>731</v>
      </c>
      <c r="C82" s="3" t="s">
        <v>732</v>
      </c>
      <c r="D82" s="3" t="s">
        <v>98</v>
      </c>
      <c r="E82" s="202">
        <v>133.5</v>
      </c>
      <c r="F82" s="3" t="s">
        <v>99</v>
      </c>
      <c r="G82" s="7">
        <v>6.72</v>
      </c>
    </row>
    <row r="83" spans="1:7" x14ac:dyDescent="0.3">
      <c r="A83" s="3">
        <v>50008800</v>
      </c>
      <c r="B83" s="3" t="s">
        <v>733</v>
      </c>
      <c r="C83" s="3" t="s">
        <v>732</v>
      </c>
      <c r="D83" s="3" t="s">
        <v>98</v>
      </c>
      <c r="E83" s="202">
        <v>202.63</v>
      </c>
      <c r="F83" s="3" t="s">
        <v>99</v>
      </c>
      <c r="G83" s="7">
        <v>7.73</v>
      </c>
    </row>
    <row r="84" spans="1:7" x14ac:dyDescent="0.3">
      <c r="A84" s="3">
        <v>50053500</v>
      </c>
      <c r="B84" s="3" t="s">
        <v>734</v>
      </c>
      <c r="C84" s="3" t="s">
        <v>735</v>
      </c>
      <c r="D84" s="3" t="s">
        <v>98</v>
      </c>
      <c r="E84" s="202">
        <v>144.47999999999999</v>
      </c>
      <c r="F84" s="3" t="s">
        <v>99</v>
      </c>
      <c r="G84" s="7">
        <v>7.14</v>
      </c>
    </row>
    <row r="85" spans="1:7" x14ac:dyDescent="0.3">
      <c r="A85" s="3">
        <v>50037700</v>
      </c>
      <c r="B85" s="3" t="s">
        <v>736</v>
      </c>
      <c r="C85" s="3" t="s">
        <v>737</v>
      </c>
      <c r="D85" s="3" t="s">
        <v>98</v>
      </c>
      <c r="E85" s="202">
        <v>193.21</v>
      </c>
      <c r="F85" s="3" t="s">
        <v>99</v>
      </c>
      <c r="G85" s="7">
        <v>7.14</v>
      </c>
    </row>
    <row r="86" spans="1:7" x14ac:dyDescent="0.3">
      <c r="A86" s="3">
        <v>50036400</v>
      </c>
      <c r="B86" s="3" t="s">
        <v>738</v>
      </c>
      <c r="C86" s="3" t="s">
        <v>737</v>
      </c>
      <c r="D86" s="3" t="s">
        <v>98</v>
      </c>
      <c r="E86" s="202">
        <v>192.92</v>
      </c>
      <c r="F86" s="3" t="s">
        <v>99</v>
      </c>
      <c r="G86" s="7">
        <v>7.73</v>
      </c>
    </row>
    <row r="87" spans="1:7" x14ac:dyDescent="0.3">
      <c r="A87" s="3">
        <v>50035700</v>
      </c>
      <c r="B87" s="3" t="s">
        <v>739</v>
      </c>
      <c r="C87" s="3" t="s">
        <v>737</v>
      </c>
      <c r="D87" s="3" t="s">
        <v>98</v>
      </c>
      <c r="E87" s="202">
        <v>189.38</v>
      </c>
      <c r="F87" s="3" t="s">
        <v>99</v>
      </c>
      <c r="G87" s="7">
        <v>7.73</v>
      </c>
    </row>
    <row r="88" spans="1:7" x14ac:dyDescent="0.3">
      <c r="A88" s="3">
        <v>50037300</v>
      </c>
      <c r="B88" s="3" t="s">
        <v>740</v>
      </c>
      <c r="C88" s="3" t="s">
        <v>737</v>
      </c>
      <c r="D88" s="3" t="s">
        <v>98</v>
      </c>
      <c r="E88" s="202">
        <v>206.09</v>
      </c>
      <c r="F88" s="3" t="s">
        <v>99</v>
      </c>
      <c r="G88" s="7">
        <v>7.73</v>
      </c>
    </row>
    <row r="89" spans="1:7" x14ac:dyDescent="0.3">
      <c r="A89" s="3">
        <v>50020300</v>
      </c>
      <c r="B89" s="3" t="s">
        <v>741</v>
      </c>
      <c r="C89" s="3" t="s">
        <v>737</v>
      </c>
      <c r="D89" s="3" t="s">
        <v>98</v>
      </c>
      <c r="E89" s="202">
        <v>176.37</v>
      </c>
      <c r="F89" s="3" t="s">
        <v>99</v>
      </c>
      <c r="G89" s="7">
        <v>7.4</v>
      </c>
    </row>
    <row r="90" spans="1:7" x14ac:dyDescent="0.3">
      <c r="A90" s="3">
        <v>50034800</v>
      </c>
      <c r="B90" s="3" t="s">
        <v>742</v>
      </c>
      <c r="C90" s="3" t="s">
        <v>737</v>
      </c>
      <c r="D90" s="3" t="s">
        <v>98</v>
      </c>
      <c r="E90" s="202">
        <v>152.6</v>
      </c>
      <c r="F90" s="3" t="s">
        <v>99</v>
      </c>
      <c r="G90" s="7">
        <v>7.74</v>
      </c>
    </row>
    <row r="91" spans="1:7" x14ac:dyDescent="0.3">
      <c r="A91" s="3">
        <v>50019800</v>
      </c>
      <c r="B91" s="3" t="s">
        <v>743</v>
      </c>
      <c r="C91" s="3" t="s">
        <v>744</v>
      </c>
      <c r="D91" s="3" t="s">
        <v>98</v>
      </c>
      <c r="E91" s="202">
        <v>211.48</v>
      </c>
      <c r="F91" s="3" t="s">
        <v>99</v>
      </c>
      <c r="G91" s="7">
        <v>7.6</v>
      </c>
    </row>
    <row r="92" spans="1:7" x14ac:dyDescent="0.3">
      <c r="A92" s="3">
        <v>50050300</v>
      </c>
      <c r="B92" s="3" t="s">
        <v>745</v>
      </c>
      <c r="C92" s="3" t="s">
        <v>746</v>
      </c>
      <c r="D92" s="3" t="s">
        <v>98</v>
      </c>
      <c r="E92" s="202">
        <v>205.31</v>
      </c>
      <c r="F92" s="3" t="s">
        <v>99</v>
      </c>
      <c r="G92" s="7">
        <v>9.48</v>
      </c>
    </row>
    <row r="93" spans="1:7" x14ac:dyDescent="0.3">
      <c r="A93" s="3">
        <v>45350200</v>
      </c>
      <c r="B93" s="3" t="s">
        <v>747</v>
      </c>
      <c r="C93" s="3" t="s">
        <v>748</v>
      </c>
      <c r="D93" s="3" t="s">
        <v>98</v>
      </c>
      <c r="E93" s="202">
        <v>200.47</v>
      </c>
      <c r="F93" s="3" t="s">
        <v>99</v>
      </c>
      <c r="G93" s="7">
        <v>9.7799999999999994</v>
      </c>
    </row>
    <row r="94" spans="1:7" x14ac:dyDescent="0.3">
      <c r="A94" s="3">
        <v>50040900</v>
      </c>
      <c r="B94" s="3" t="s">
        <v>749</v>
      </c>
      <c r="C94" s="3" t="s">
        <v>750</v>
      </c>
      <c r="D94" s="3" t="s">
        <v>98</v>
      </c>
      <c r="E94" s="202">
        <v>161.91999999999999</v>
      </c>
      <c r="F94" s="3" t="s">
        <v>99</v>
      </c>
      <c r="G94" s="7">
        <v>6.1</v>
      </c>
    </row>
    <row r="95" spans="1:7" x14ac:dyDescent="0.3">
      <c r="A95" s="3">
        <v>50050900</v>
      </c>
      <c r="B95" s="3" t="s">
        <v>751</v>
      </c>
      <c r="C95" s="3" t="s">
        <v>752</v>
      </c>
      <c r="D95" s="3" t="s">
        <v>98</v>
      </c>
      <c r="E95" s="202">
        <v>185.91</v>
      </c>
      <c r="F95" s="3" t="s">
        <v>99</v>
      </c>
      <c r="G95" s="7">
        <v>4.37</v>
      </c>
    </row>
    <row r="96" spans="1:7" x14ac:dyDescent="0.3">
      <c r="A96" s="3">
        <v>45315600</v>
      </c>
      <c r="B96" s="3" t="s">
        <v>753</v>
      </c>
      <c r="C96" s="3" t="s">
        <v>754</v>
      </c>
      <c r="D96" s="3" t="s">
        <v>98</v>
      </c>
      <c r="E96" s="202">
        <v>164.98</v>
      </c>
      <c r="F96" s="3" t="s">
        <v>99</v>
      </c>
      <c r="G96" s="7">
        <v>7.65</v>
      </c>
    </row>
    <row r="97" spans="1:7" x14ac:dyDescent="0.3">
      <c r="A97" s="3">
        <v>45244400</v>
      </c>
      <c r="B97" s="3" t="s">
        <v>755</v>
      </c>
      <c r="C97" s="3" t="s">
        <v>754</v>
      </c>
      <c r="D97" s="3" t="s">
        <v>98</v>
      </c>
      <c r="E97" s="202">
        <v>183.21</v>
      </c>
      <c r="F97" s="3" t="s">
        <v>99</v>
      </c>
      <c r="G97" s="7">
        <v>7.33</v>
      </c>
    </row>
    <row r="98" spans="1:7" x14ac:dyDescent="0.3">
      <c r="A98" s="3">
        <v>45249800</v>
      </c>
      <c r="B98" s="3" t="s">
        <v>756</v>
      </c>
      <c r="C98" s="3" t="s">
        <v>754</v>
      </c>
      <c r="D98" s="3" t="s">
        <v>98</v>
      </c>
      <c r="E98" s="202">
        <v>178.89</v>
      </c>
      <c r="F98" s="3" t="s">
        <v>99</v>
      </c>
      <c r="G98" s="7">
        <v>7.33</v>
      </c>
    </row>
    <row r="99" spans="1:7" x14ac:dyDescent="0.3">
      <c r="A99" s="3">
        <v>50036200</v>
      </c>
      <c r="B99" s="3" t="s">
        <v>757</v>
      </c>
      <c r="C99" s="3" t="s">
        <v>758</v>
      </c>
      <c r="D99" s="3" t="s">
        <v>98</v>
      </c>
      <c r="E99" s="202">
        <v>182.01</v>
      </c>
      <c r="F99" s="3" t="s">
        <v>99</v>
      </c>
      <c r="G99" s="7">
        <v>7.33</v>
      </c>
    </row>
    <row r="100" spans="1:7" x14ac:dyDescent="0.3">
      <c r="A100" s="3">
        <v>50004500</v>
      </c>
      <c r="B100" s="3" t="s">
        <v>759</v>
      </c>
      <c r="C100" s="3" t="s">
        <v>760</v>
      </c>
      <c r="D100" s="3" t="s">
        <v>98</v>
      </c>
      <c r="E100" s="202">
        <v>182.84</v>
      </c>
      <c r="F100" s="3" t="s">
        <v>99</v>
      </c>
      <c r="G100" s="7">
        <v>7.14</v>
      </c>
    </row>
    <row r="101" spans="1:7" x14ac:dyDescent="0.3">
      <c r="A101" s="3">
        <v>45244300</v>
      </c>
      <c r="B101" s="3" t="s">
        <v>761</v>
      </c>
      <c r="C101" s="3" t="s">
        <v>762</v>
      </c>
      <c r="D101" s="3" t="s">
        <v>98</v>
      </c>
      <c r="E101" s="202">
        <v>163.44999999999999</v>
      </c>
      <c r="F101" s="3" t="s">
        <v>99</v>
      </c>
      <c r="G101" s="7">
        <v>7.33</v>
      </c>
    </row>
    <row r="102" spans="1:7" x14ac:dyDescent="0.3">
      <c r="A102" s="3">
        <v>50056900</v>
      </c>
      <c r="B102" s="3" t="s">
        <v>763</v>
      </c>
      <c r="C102" s="3" t="s">
        <v>764</v>
      </c>
      <c r="D102" s="3" t="s">
        <v>98</v>
      </c>
      <c r="E102" s="202">
        <v>160.21</v>
      </c>
      <c r="F102" s="3" t="s">
        <v>99</v>
      </c>
      <c r="G102" s="7">
        <v>6.54</v>
      </c>
    </row>
    <row r="103" spans="1:7" x14ac:dyDescent="0.3">
      <c r="A103" s="3">
        <v>50064696</v>
      </c>
      <c r="B103" s="3" t="s">
        <v>765</v>
      </c>
      <c r="C103" s="3" t="s">
        <v>766</v>
      </c>
      <c r="D103" s="3" t="s">
        <v>98</v>
      </c>
      <c r="E103" s="202">
        <v>295.27999999999997</v>
      </c>
      <c r="F103" s="3" t="s">
        <v>99</v>
      </c>
      <c r="G103" s="7">
        <v>4.72</v>
      </c>
    </row>
    <row r="104" spans="1:7" x14ac:dyDescent="0.3">
      <c r="A104" s="3">
        <v>50050800</v>
      </c>
      <c r="B104" s="3" t="s">
        <v>767</v>
      </c>
      <c r="C104" s="3" t="s">
        <v>768</v>
      </c>
      <c r="D104" s="3" t="s">
        <v>98</v>
      </c>
      <c r="E104" s="202"/>
      <c r="F104" s="3" t="s">
        <v>99</v>
      </c>
      <c r="G104" s="7">
        <v>4.45</v>
      </c>
    </row>
    <row r="105" spans="1:7" x14ac:dyDescent="0.3">
      <c r="A105" s="3">
        <v>45252900</v>
      </c>
      <c r="B105" s="3" t="s">
        <v>769</v>
      </c>
      <c r="C105" s="3" t="s">
        <v>770</v>
      </c>
      <c r="D105" s="3" t="s">
        <v>98</v>
      </c>
      <c r="E105" s="202">
        <v>238.56</v>
      </c>
      <c r="F105" s="3" t="s">
        <v>99</v>
      </c>
      <c r="G105" s="7"/>
    </row>
    <row r="106" spans="1:7" x14ac:dyDescent="0.3">
      <c r="A106" s="3">
        <v>45265400</v>
      </c>
      <c r="B106" s="3" t="s">
        <v>771</v>
      </c>
      <c r="C106" s="3" t="s">
        <v>770</v>
      </c>
      <c r="D106" s="3" t="s">
        <v>98</v>
      </c>
      <c r="E106" s="202">
        <v>189.05</v>
      </c>
      <c r="F106" s="3" t="s">
        <v>99</v>
      </c>
      <c r="G106" s="7">
        <v>6.72</v>
      </c>
    </row>
    <row r="107" spans="1:7" x14ac:dyDescent="0.3">
      <c r="A107" s="3">
        <v>45219600</v>
      </c>
      <c r="B107" s="3" t="s">
        <v>772</v>
      </c>
      <c r="C107" s="3" t="s">
        <v>770</v>
      </c>
      <c r="D107" s="3" t="s">
        <v>98</v>
      </c>
      <c r="E107" s="202">
        <v>246.05</v>
      </c>
      <c r="F107" s="3" t="s">
        <v>99</v>
      </c>
      <c r="G107" s="7">
        <v>6.72</v>
      </c>
    </row>
    <row r="108" spans="1:7" x14ac:dyDescent="0.3">
      <c r="A108" s="3">
        <v>45285000</v>
      </c>
      <c r="B108" s="3" t="s">
        <v>773</v>
      </c>
      <c r="C108" s="3" t="s">
        <v>770</v>
      </c>
      <c r="D108" s="3" t="s">
        <v>98</v>
      </c>
      <c r="E108" s="202">
        <v>201.88</v>
      </c>
      <c r="F108" s="3" t="s">
        <v>99</v>
      </c>
      <c r="G108" s="7">
        <v>6.72</v>
      </c>
    </row>
    <row r="109" spans="1:7" x14ac:dyDescent="0.3">
      <c r="A109" s="3">
        <v>50053100</v>
      </c>
      <c r="B109" s="3" t="s">
        <v>774</v>
      </c>
      <c r="C109" s="3" t="s">
        <v>770</v>
      </c>
      <c r="D109" s="3" t="s">
        <v>98</v>
      </c>
      <c r="E109" s="202">
        <v>218.76</v>
      </c>
      <c r="F109" s="3" t="s">
        <v>99</v>
      </c>
      <c r="G109" s="7">
        <v>6.41</v>
      </c>
    </row>
    <row r="110" spans="1:7" x14ac:dyDescent="0.3">
      <c r="A110" s="3">
        <v>50059400</v>
      </c>
      <c r="B110" s="3" t="s">
        <v>775</v>
      </c>
      <c r="C110" s="3" t="s">
        <v>776</v>
      </c>
      <c r="D110" s="3" t="s">
        <v>98</v>
      </c>
      <c r="E110" s="202">
        <v>234.84</v>
      </c>
      <c r="F110" s="3" t="s">
        <v>99</v>
      </c>
      <c r="G110" s="7">
        <v>7.68</v>
      </c>
    </row>
    <row r="111" spans="1:7" x14ac:dyDescent="0.3">
      <c r="A111" s="3">
        <v>50059100</v>
      </c>
      <c r="B111" s="3" t="s">
        <v>777</v>
      </c>
      <c r="C111" s="3" t="s">
        <v>776</v>
      </c>
      <c r="D111" s="3" t="s">
        <v>98</v>
      </c>
      <c r="E111" s="202">
        <v>261.39</v>
      </c>
      <c r="F111" s="3" t="s">
        <v>99</v>
      </c>
      <c r="G111" s="7">
        <v>5.6</v>
      </c>
    </row>
    <row r="112" spans="1:7" x14ac:dyDescent="0.3">
      <c r="A112" s="3">
        <v>50066900</v>
      </c>
      <c r="B112" s="3" t="s">
        <v>778</v>
      </c>
      <c r="C112" s="3" t="s">
        <v>779</v>
      </c>
      <c r="D112" s="3" t="s">
        <v>98</v>
      </c>
      <c r="E112" s="202">
        <v>324.99</v>
      </c>
      <c r="F112" s="3" t="s">
        <v>99</v>
      </c>
      <c r="G112" s="7">
        <v>6.55</v>
      </c>
    </row>
    <row r="113" spans="1:7" x14ac:dyDescent="0.3">
      <c r="A113" s="3">
        <v>45237900</v>
      </c>
      <c r="B113" s="3" t="s">
        <v>780</v>
      </c>
      <c r="C113" s="3" t="s">
        <v>781</v>
      </c>
      <c r="D113" s="3" t="s">
        <v>98</v>
      </c>
      <c r="E113" s="202">
        <v>141.81</v>
      </c>
      <c r="F113" s="3" t="s">
        <v>99</v>
      </c>
      <c r="G113" s="7">
        <v>5.82</v>
      </c>
    </row>
    <row r="114" spans="1:7" x14ac:dyDescent="0.3">
      <c r="A114" s="3">
        <v>50038700</v>
      </c>
      <c r="B114" s="3" t="s">
        <v>782</v>
      </c>
      <c r="C114" s="3" t="s">
        <v>783</v>
      </c>
      <c r="D114" s="3" t="s">
        <v>98</v>
      </c>
      <c r="E114" s="202">
        <v>211.92</v>
      </c>
      <c r="F114" s="3" t="s">
        <v>99</v>
      </c>
      <c r="G114" s="7">
        <v>8.7200000000000006</v>
      </c>
    </row>
    <row r="115" spans="1:7" x14ac:dyDescent="0.3">
      <c r="A115" s="3">
        <v>50056100</v>
      </c>
      <c r="B115" s="3" t="s">
        <v>784</v>
      </c>
      <c r="C115" s="3" t="s">
        <v>785</v>
      </c>
      <c r="D115" s="3" t="s">
        <v>98</v>
      </c>
      <c r="E115" s="202">
        <v>165.02</v>
      </c>
      <c r="F115" s="3" t="s">
        <v>99</v>
      </c>
      <c r="G115" s="7">
        <v>9.07</v>
      </c>
    </row>
    <row r="116" spans="1:7" x14ac:dyDescent="0.3">
      <c r="A116" s="3">
        <v>45290900</v>
      </c>
      <c r="B116" s="3" t="s">
        <v>786</v>
      </c>
      <c r="C116" s="3" t="s">
        <v>787</v>
      </c>
      <c r="D116" s="3" t="s">
        <v>98</v>
      </c>
      <c r="E116" s="202">
        <v>177.97</v>
      </c>
      <c r="F116" s="3" t="s">
        <v>99</v>
      </c>
      <c r="G116" s="7">
        <v>7.18</v>
      </c>
    </row>
    <row r="117" spans="1:7" x14ac:dyDescent="0.3">
      <c r="A117" s="3">
        <v>45277000</v>
      </c>
      <c r="B117" s="3" t="s">
        <v>788</v>
      </c>
      <c r="C117" s="3" t="s">
        <v>787</v>
      </c>
      <c r="D117" s="3" t="s">
        <v>98</v>
      </c>
      <c r="E117" s="202">
        <v>168.69</v>
      </c>
      <c r="F117" s="3" t="s">
        <v>99</v>
      </c>
      <c r="G117" s="7">
        <v>8.98</v>
      </c>
    </row>
    <row r="118" spans="1:7" x14ac:dyDescent="0.3">
      <c r="A118" s="3">
        <v>45259700</v>
      </c>
      <c r="B118" s="3" t="s">
        <v>789</v>
      </c>
      <c r="C118" s="3" t="s">
        <v>787</v>
      </c>
      <c r="D118" s="3" t="s">
        <v>98</v>
      </c>
      <c r="E118" s="202">
        <v>186.62</v>
      </c>
      <c r="F118" s="3" t="s">
        <v>99</v>
      </c>
      <c r="G118" s="7">
        <v>8.98</v>
      </c>
    </row>
    <row r="119" spans="1:7" x14ac:dyDescent="0.3">
      <c r="A119" s="3">
        <v>50058600</v>
      </c>
      <c r="B119" s="3" t="s">
        <v>790</v>
      </c>
      <c r="C119" s="3" t="s">
        <v>791</v>
      </c>
      <c r="D119" s="3" t="s">
        <v>98</v>
      </c>
      <c r="E119" s="202">
        <v>159.11000000000001</v>
      </c>
      <c r="F119" s="3" t="s">
        <v>99</v>
      </c>
      <c r="G119" s="7">
        <v>4.2</v>
      </c>
    </row>
    <row r="120" spans="1:7" x14ac:dyDescent="0.3">
      <c r="A120" s="3">
        <v>50040300</v>
      </c>
      <c r="B120" s="3" t="s">
        <v>792</v>
      </c>
      <c r="C120" s="3" t="s">
        <v>791</v>
      </c>
      <c r="D120" s="3" t="s">
        <v>98</v>
      </c>
      <c r="E120" s="202">
        <v>159.34</v>
      </c>
      <c r="F120" s="3" t="s">
        <v>99</v>
      </c>
      <c r="G120" s="7">
        <v>3.93</v>
      </c>
    </row>
    <row r="121" spans="1:7" s="203" customFormat="1" x14ac:dyDescent="0.3">
      <c r="A121" s="203">
        <v>42407100</v>
      </c>
      <c r="B121" s="203" t="s">
        <v>793</v>
      </c>
      <c r="C121" s="203" t="s">
        <v>794</v>
      </c>
      <c r="D121" s="203" t="s">
        <v>98</v>
      </c>
      <c r="E121" s="204"/>
      <c r="F121" s="203" t="s">
        <v>99</v>
      </c>
      <c r="G121" s="205"/>
    </row>
    <row r="122" spans="1:7" x14ac:dyDescent="0.3">
      <c r="A122" s="3">
        <v>50053300</v>
      </c>
      <c r="B122" s="3" t="s">
        <v>795</v>
      </c>
      <c r="C122" s="3" t="s">
        <v>794</v>
      </c>
      <c r="D122" s="3" t="s">
        <v>98</v>
      </c>
      <c r="E122" s="202">
        <v>156.07</v>
      </c>
      <c r="F122" s="3" t="s">
        <v>99</v>
      </c>
      <c r="G122" s="7">
        <v>6.91</v>
      </c>
    </row>
    <row r="123" spans="1:7" x14ac:dyDescent="0.3">
      <c r="A123" s="3">
        <v>45216800</v>
      </c>
      <c r="B123" s="3" t="s">
        <v>796</v>
      </c>
      <c r="C123" s="3" t="s">
        <v>797</v>
      </c>
      <c r="D123" s="3" t="s">
        <v>98</v>
      </c>
      <c r="E123" s="202">
        <v>235.7</v>
      </c>
      <c r="F123" s="3" t="s">
        <v>99</v>
      </c>
      <c r="G123" s="7">
        <v>6.91</v>
      </c>
    </row>
    <row r="124" spans="1:7" x14ac:dyDescent="0.3">
      <c r="A124" s="3">
        <v>45333900</v>
      </c>
      <c r="B124" s="3" t="s">
        <v>798</v>
      </c>
      <c r="C124" s="3" t="s">
        <v>797</v>
      </c>
      <c r="D124" s="3" t="s">
        <v>98</v>
      </c>
      <c r="E124" s="202">
        <v>167.56</v>
      </c>
      <c r="F124" s="3" t="s">
        <v>99</v>
      </c>
      <c r="G124" s="7">
        <v>6.91</v>
      </c>
    </row>
    <row r="125" spans="1:7" x14ac:dyDescent="0.3">
      <c r="A125" s="3">
        <v>45287100</v>
      </c>
      <c r="B125" s="3" t="s">
        <v>799</v>
      </c>
      <c r="C125" s="3" t="s">
        <v>797</v>
      </c>
      <c r="D125" s="3" t="s">
        <v>98</v>
      </c>
      <c r="E125" s="202">
        <v>164.83</v>
      </c>
      <c r="F125" s="3" t="s">
        <v>99</v>
      </c>
      <c r="G125" s="7">
        <v>6.91</v>
      </c>
    </row>
    <row r="126" spans="1:7" x14ac:dyDescent="0.3">
      <c r="A126" s="3">
        <v>45258400</v>
      </c>
      <c r="B126" s="3" t="s">
        <v>800</v>
      </c>
      <c r="C126" s="3" t="s">
        <v>797</v>
      </c>
      <c r="D126" s="3" t="s">
        <v>98</v>
      </c>
      <c r="E126" s="202">
        <v>162</v>
      </c>
      <c r="F126" s="3" t="s">
        <v>99</v>
      </c>
      <c r="G126" s="7">
        <v>6.91</v>
      </c>
    </row>
    <row r="127" spans="1:7" x14ac:dyDescent="0.3">
      <c r="A127" s="3">
        <v>45285100</v>
      </c>
      <c r="B127" s="3" t="s">
        <v>801</v>
      </c>
      <c r="C127" s="3" t="s">
        <v>797</v>
      </c>
      <c r="D127" s="3" t="s">
        <v>98</v>
      </c>
      <c r="E127" s="202">
        <v>176.02</v>
      </c>
      <c r="F127" s="3" t="s">
        <v>99</v>
      </c>
      <c r="G127" s="7">
        <v>6.91</v>
      </c>
    </row>
    <row r="128" spans="1:7" x14ac:dyDescent="0.3">
      <c r="A128" s="3">
        <v>50038900</v>
      </c>
      <c r="B128" s="3" t="s">
        <v>802</v>
      </c>
      <c r="C128" s="3" t="s">
        <v>797</v>
      </c>
      <c r="D128" s="3" t="s">
        <v>98</v>
      </c>
      <c r="E128" s="202">
        <v>216.44</v>
      </c>
      <c r="F128" s="3" t="s">
        <v>99</v>
      </c>
      <c r="G128" s="7">
        <v>6.91</v>
      </c>
    </row>
    <row r="129" spans="1:7" x14ac:dyDescent="0.3">
      <c r="A129" s="3">
        <v>45251000</v>
      </c>
      <c r="B129" s="3" t="s">
        <v>803</v>
      </c>
      <c r="C129" s="3" t="s">
        <v>797</v>
      </c>
      <c r="D129" s="3" t="s">
        <v>98</v>
      </c>
      <c r="E129" s="202">
        <v>224.15</v>
      </c>
      <c r="F129" s="3" t="s">
        <v>99</v>
      </c>
      <c r="G129" s="7">
        <v>6.91</v>
      </c>
    </row>
    <row r="130" spans="1:7" x14ac:dyDescent="0.3">
      <c r="A130" s="3">
        <v>50051800</v>
      </c>
      <c r="B130" s="3" t="s">
        <v>804</v>
      </c>
      <c r="C130" s="3" t="s">
        <v>805</v>
      </c>
      <c r="D130" s="3" t="s">
        <v>98</v>
      </c>
      <c r="E130" s="202">
        <v>231.54</v>
      </c>
      <c r="F130" s="3" t="s">
        <v>99</v>
      </c>
      <c r="G130" s="7">
        <v>7.45</v>
      </c>
    </row>
    <row r="131" spans="1:7" x14ac:dyDescent="0.3">
      <c r="A131" s="3">
        <v>50050500</v>
      </c>
      <c r="B131" s="3" t="s">
        <v>806</v>
      </c>
      <c r="C131" s="3" t="s">
        <v>807</v>
      </c>
      <c r="D131" s="3" t="s">
        <v>98</v>
      </c>
      <c r="E131" s="202">
        <v>228.61</v>
      </c>
      <c r="F131" s="3" t="s">
        <v>99</v>
      </c>
      <c r="G131" s="7">
        <v>7.45</v>
      </c>
    </row>
    <row r="132" spans="1:7" x14ac:dyDescent="0.3">
      <c r="A132" s="3">
        <v>42341400</v>
      </c>
      <c r="B132" s="3" t="s">
        <v>808</v>
      </c>
      <c r="C132" s="3" t="s">
        <v>809</v>
      </c>
      <c r="D132" s="3" t="s">
        <v>98</v>
      </c>
      <c r="E132" s="202">
        <v>232.87</v>
      </c>
      <c r="F132" s="3" t="s">
        <v>99</v>
      </c>
      <c r="G132" s="7">
        <v>7.45</v>
      </c>
    </row>
    <row r="133" spans="1:7" x14ac:dyDescent="0.3">
      <c r="A133" s="3">
        <v>50065996</v>
      </c>
      <c r="B133" s="3" t="s">
        <v>810</v>
      </c>
      <c r="C133" s="3" t="s">
        <v>809</v>
      </c>
      <c r="D133" s="3" t="s">
        <v>98</v>
      </c>
      <c r="E133" s="202">
        <v>429.86</v>
      </c>
      <c r="F133" s="3" t="s">
        <v>99</v>
      </c>
      <c r="G133" s="7">
        <v>6.55</v>
      </c>
    </row>
    <row r="134" spans="1:7" x14ac:dyDescent="0.3">
      <c r="A134" s="3">
        <v>50065896</v>
      </c>
      <c r="B134" s="3" t="s">
        <v>811</v>
      </c>
      <c r="C134" s="3" t="s">
        <v>812</v>
      </c>
      <c r="D134" s="3" t="s">
        <v>98</v>
      </c>
      <c r="E134" s="202">
        <v>451.69</v>
      </c>
      <c r="F134" s="3" t="s">
        <v>99</v>
      </c>
      <c r="G134" s="7">
        <v>6.55</v>
      </c>
    </row>
    <row r="135" spans="1:7" x14ac:dyDescent="0.3">
      <c r="A135" s="3">
        <v>50056300</v>
      </c>
      <c r="B135" s="3" t="s">
        <v>813</v>
      </c>
      <c r="C135" s="3" t="s">
        <v>812</v>
      </c>
      <c r="D135" s="3" t="s">
        <v>98</v>
      </c>
      <c r="E135" s="202">
        <v>160.16999999999999</v>
      </c>
      <c r="F135" s="3" t="s">
        <v>99</v>
      </c>
      <c r="G135" s="7">
        <v>4.45</v>
      </c>
    </row>
    <row r="136" spans="1:7" x14ac:dyDescent="0.3">
      <c r="A136" s="3">
        <v>50054200</v>
      </c>
      <c r="B136" s="3" t="s">
        <v>814</v>
      </c>
      <c r="C136" s="3" t="s">
        <v>815</v>
      </c>
      <c r="D136" s="3" t="s">
        <v>98</v>
      </c>
      <c r="E136" s="202">
        <v>172.9</v>
      </c>
      <c r="F136" s="3" t="s">
        <v>99</v>
      </c>
      <c r="G136" s="7">
        <v>4.45</v>
      </c>
    </row>
    <row r="137" spans="1:7" x14ac:dyDescent="0.3">
      <c r="A137" s="3">
        <v>50034000</v>
      </c>
      <c r="B137" s="3" t="s">
        <v>816</v>
      </c>
      <c r="C137" s="3" t="s">
        <v>815</v>
      </c>
      <c r="D137" s="3" t="s">
        <v>98</v>
      </c>
      <c r="E137" s="202">
        <v>126.37</v>
      </c>
      <c r="F137" s="3" t="s">
        <v>99</v>
      </c>
      <c r="G137" s="7">
        <v>4.58</v>
      </c>
    </row>
    <row r="138" spans="1:7" x14ac:dyDescent="0.3">
      <c r="A138" s="3">
        <v>50057200</v>
      </c>
      <c r="B138" s="3" t="s">
        <v>817</v>
      </c>
      <c r="C138" s="3" t="s">
        <v>815</v>
      </c>
      <c r="D138" s="3" t="s">
        <v>98</v>
      </c>
      <c r="E138" s="202">
        <v>159.91</v>
      </c>
      <c r="F138" s="3" t="s">
        <v>99</v>
      </c>
      <c r="G138" s="7">
        <v>2.9</v>
      </c>
    </row>
    <row r="139" spans="1:7" x14ac:dyDescent="0.3">
      <c r="A139" s="3">
        <v>50040500</v>
      </c>
      <c r="B139" s="3" t="s">
        <v>818</v>
      </c>
      <c r="C139" s="3" t="s">
        <v>819</v>
      </c>
      <c r="D139" s="3" t="s">
        <v>98</v>
      </c>
      <c r="E139" s="202">
        <v>153.13999999999999</v>
      </c>
      <c r="F139" s="3" t="s">
        <v>99</v>
      </c>
      <c r="G139" s="7">
        <v>3.93</v>
      </c>
    </row>
    <row r="140" spans="1:7" x14ac:dyDescent="0.3">
      <c r="A140" s="3">
        <v>50040800</v>
      </c>
      <c r="B140" s="3" t="s">
        <v>820</v>
      </c>
      <c r="C140" s="3" t="s">
        <v>821</v>
      </c>
      <c r="D140" s="3" t="s">
        <v>98</v>
      </c>
      <c r="E140" s="202">
        <v>154.11000000000001</v>
      </c>
      <c r="F140" s="3" t="s">
        <v>99</v>
      </c>
      <c r="G140" s="7">
        <v>3.93</v>
      </c>
    </row>
    <row r="141" spans="1:7" x14ac:dyDescent="0.3">
      <c r="A141" s="3">
        <v>50065796</v>
      </c>
      <c r="B141" s="3" t="s">
        <v>822</v>
      </c>
      <c r="C141" s="3" t="s">
        <v>821</v>
      </c>
      <c r="D141" s="3" t="s">
        <v>98</v>
      </c>
      <c r="E141" s="202">
        <v>196.8</v>
      </c>
      <c r="F141" s="3" t="s">
        <v>99</v>
      </c>
      <c r="G141" s="7">
        <v>1.91</v>
      </c>
    </row>
    <row r="142" spans="1:7" x14ac:dyDescent="0.3">
      <c r="A142" s="3">
        <v>50065496</v>
      </c>
      <c r="B142" s="3" t="s">
        <v>823</v>
      </c>
      <c r="C142" s="3" t="s">
        <v>824</v>
      </c>
      <c r="D142" s="3" t="s">
        <v>98</v>
      </c>
      <c r="E142" s="202">
        <v>59.1</v>
      </c>
      <c r="F142" s="3" t="s">
        <v>99</v>
      </c>
      <c r="G142" s="7">
        <v>1.91</v>
      </c>
    </row>
    <row r="143" spans="1:7" x14ac:dyDescent="0.3">
      <c r="A143" s="3">
        <v>50066096</v>
      </c>
      <c r="B143" s="3" t="s">
        <v>825</v>
      </c>
      <c r="C143" s="3" t="s">
        <v>824</v>
      </c>
      <c r="D143" s="3" t="s">
        <v>98</v>
      </c>
      <c r="E143" s="202">
        <v>276.43</v>
      </c>
      <c r="F143" s="3" t="s">
        <v>99</v>
      </c>
      <c r="G143" s="7">
        <v>1.91</v>
      </c>
    </row>
    <row r="144" spans="1:7" x14ac:dyDescent="0.3">
      <c r="A144" s="3">
        <v>50052399</v>
      </c>
      <c r="B144" s="3" t="s">
        <v>826</v>
      </c>
      <c r="C144" s="3" t="s">
        <v>824</v>
      </c>
      <c r="D144" s="3" t="s">
        <v>98</v>
      </c>
      <c r="E144" s="202">
        <v>181.21</v>
      </c>
      <c r="F144" s="3" t="s">
        <v>99</v>
      </c>
      <c r="G144" s="7">
        <v>3.66</v>
      </c>
    </row>
    <row r="145" spans="1:7" x14ac:dyDescent="0.3">
      <c r="A145" s="3">
        <v>42490800</v>
      </c>
      <c r="B145" s="3" t="s">
        <v>827</v>
      </c>
      <c r="C145" s="3" t="s">
        <v>828</v>
      </c>
      <c r="D145" s="3" t="s">
        <v>98</v>
      </c>
      <c r="E145" s="202"/>
      <c r="F145" s="3" t="s">
        <v>99</v>
      </c>
      <c r="G145" s="7"/>
    </row>
    <row r="146" spans="1:7" x14ac:dyDescent="0.3">
      <c r="A146" s="3">
        <v>42492400</v>
      </c>
      <c r="B146" s="3" t="s">
        <v>829</v>
      </c>
      <c r="C146" s="3" t="s">
        <v>830</v>
      </c>
      <c r="D146" s="3" t="s">
        <v>98</v>
      </c>
      <c r="E146" s="202">
        <v>268.68</v>
      </c>
      <c r="F146" s="3" t="s">
        <v>99</v>
      </c>
      <c r="G146" s="7"/>
    </row>
    <row r="147" spans="1:7" x14ac:dyDescent="0.3">
      <c r="A147" s="3">
        <v>42473600</v>
      </c>
      <c r="B147" s="3" t="s">
        <v>831</v>
      </c>
      <c r="C147" s="3" t="s">
        <v>832</v>
      </c>
      <c r="D147" s="3" t="s">
        <v>98</v>
      </c>
      <c r="E147" s="202">
        <v>236.97</v>
      </c>
      <c r="F147" s="3" t="s">
        <v>99</v>
      </c>
      <c r="G147" s="7"/>
    </row>
    <row r="148" spans="1:7" x14ac:dyDescent="0.3">
      <c r="A148" s="3">
        <v>42691296</v>
      </c>
      <c r="B148" s="3" t="s">
        <v>833</v>
      </c>
      <c r="C148" s="3" t="s">
        <v>832</v>
      </c>
      <c r="D148" s="3" t="s">
        <v>98</v>
      </c>
      <c r="E148" s="202">
        <v>285.77</v>
      </c>
      <c r="F148" s="3" t="s">
        <v>99</v>
      </c>
      <c r="G148" s="7"/>
    </row>
    <row r="149" spans="1:7" x14ac:dyDescent="0.3">
      <c r="A149" s="3">
        <v>42691396</v>
      </c>
      <c r="B149" s="3" t="s">
        <v>834</v>
      </c>
      <c r="C149" s="3" t="s">
        <v>835</v>
      </c>
      <c r="D149" s="3" t="s">
        <v>98</v>
      </c>
      <c r="E149" s="202">
        <v>252.42</v>
      </c>
      <c r="F149" s="3" t="s">
        <v>99</v>
      </c>
      <c r="G149" s="7"/>
    </row>
    <row r="150" spans="1:7" x14ac:dyDescent="0.3">
      <c r="A150" s="3">
        <v>42691496</v>
      </c>
      <c r="B150" s="3" t="s">
        <v>836</v>
      </c>
      <c r="C150" s="3" t="s">
        <v>835</v>
      </c>
      <c r="D150" s="3" t="s">
        <v>98</v>
      </c>
      <c r="E150" s="202">
        <v>278.68</v>
      </c>
      <c r="F150" s="3" t="s">
        <v>99</v>
      </c>
      <c r="G150" s="7"/>
    </row>
    <row r="151" spans="1:7" x14ac:dyDescent="0.3">
      <c r="A151" s="3">
        <v>42691596</v>
      </c>
      <c r="B151" s="3" t="s">
        <v>837</v>
      </c>
      <c r="C151" s="3" t="s">
        <v>835</v>
      </c>
      <c r="D151" s="3" t="s">
        <v>98</v>
      </c>
      <c r="E151" s="202">
        <v>257.69</v>
      </c>
      <c r="F151" s="3" t="s">
        <v>99</v>
      </c>
      <c r="G151" s="7"/>
    </row>
    <row r="152" spans="1:7" x14ac:dyDescent="0.3">
      <c r="A152" s="3">
        <v>42691696</v>
      </c>
      <c r="B152" s="3" t="s">
        <v>838</v>
      </c>
      <c r="C152" s="3" t="s">
        <v>835</v>
      </c>
      <c r="D152" s="3" t="s">
        <v>98</v>
      </c>
      <c r="E152" s="202">
        <v>240.92</v>
      </c>
      <c r="F152" s="3" t="s">
        <v>99</v>
      </c>
      <c r="G152" s="7"/>
    </row>
    <row r="153" spans="1:7" x14ac:dyDescent="0.3">
      <c r="A153" s="3">
        <v>42691796</v>
      </c>
      <c r="B153" s="3" t="s">
        <v>839</v>
      </c>
      <c r="C153" s="3" t="s">
        <v>835</v>
      </c>
      <c r="D153" s="3" t="s">
        <v>98</v>
      </c>
      <c r="E153" s="202">
        <v>227.29</v>
      </c>
      <c r="F153" s="3" t="s">
        <v>99</v>
      </c>
      <c r="G153" s="7"/>
    </row>
    <row r="154" spans="1:7" x14ac:dyDescent="0.3">
      <c r="A154" s="3">
        <v>42692096</v>
      </c>
      <c r="B154" s="3" t="s">
        <v>840</v>
      </c>
      <c r="C154" s="3" t="s">
        <v>835</v>
      </c>
      <c r="D154" s="3" t="s">
        <v>98</v>
      </c>
      <c r="E154" s="202">
        <v>313.29000000000002</v>
      </c>
      <c r="F154" s="3" t="s">
        <v>99</v>
      </c>
      <c r="G154" s="7"/>
    </row>
    <row r="155" spans="1:7" x14ac:dyDescent="0.3">
      <c r="A155" s="3">
        <v>42691996</v>
      </c>
      <c r="B155" s="3" t="s">
        <v>841</v>
      </c>
      <c r="C155" s="3" t="s">
        <v>842</v>
      </c>
      <c r="D155" s="3" t="s">
        <v>98</v>
      </c>
      <c r="E155" s="202">
        <v>279.02999999999997</v>
      </c>
      <c r="F155" s="3" t="s">
        <v>99</v>
      </c>
      <c r="G155" s="7"/>
    </row>
    <row r="156" spans="1:7" x14ac:dyDescent="0.3">
      <c r="A156" s="3">
        <v>42692296</v>
      </c>
      <c r="B156" s="3" t="s">
        <v>843</v>
      </c>
      <c r="C156" s="3" t="s">
        <v>842</v>
      </c>
      <c r="D156" s="3" t="s">
        <v>98</v>
      </c>
      <c r="E156" s="202">
        <v>293.75</v>
      </c>
      <c r="F156" s="3" t="s">
        <v>99</v>
      </c>
      <c r="G156" s="7"/>
    </row>
    <row r="157" spans="1:7" x14ac:dyDescent="0.3">
      <c r="A157" s="3">
        <v>42691896</v>
      </c>
      <c r="B157" s="3" t="s">
        <v>844</v>
      </c>
      <c r="C157" s="3" t="s">
        <v>842</v>
      </c>
      <c r="D157" s="3" t="s">
        <v>98</v>
      </c>
      <c r="E157" s="202">
        <v>284.32</v>
      </c>
      <c r="F157" s="3" t="s">
        <v>99</v>
      </c>
      <c r="G157" s="7"/>
    </row>
    <row r="158" spans="1:7" x14ac:dyDescent="0.3">
      <c r="A158" s="3">
        <v>42692196</v>
      </c>
      <c r="B158" s="3" t="s">
        <v>845</v>
      </c>
      <c r="C158" s="3" t="s">
        <v>842</v>
      </c>
      <c r="D158" s="3" t="s">
        <v>98</v>
      </c>
      <c r="E158" s="202">
        <v>293.92</v>
      </c>
      <c r="F158" s="3" t="s">
        <v>99</v>
      </c>
      <c r="G158" s="7"/>
    </row>
    <row r="159" spans="1:7" x14ac:dyDescent="0.3">
      <c r="A159" s="3">
        <v>42692396</v>
      </c>
      <c r="B159" s="3" t="s">
        <v>846</v>
      </c>
      <c r="C159" s="3" t="s">
        <v>842</v>
      </c>
      <c r="D159" s="3" t="s">
        <v>98</v>
      </c>
      <c r="E159" s="202">
        <v>315.45</v>
      </c>
      <c r="F159" s="3" t="s">
        <v>99</v>
      </c>
      <c r="G159" s="7"/>
    </row>
    <row r="160" spans="1:7" x14ac:dyDescent="0.3">
      <c r="A160" s="3">
        <v>42692496</v>
      </c>
      <c r="B160" s="3" t="s">
        <v>847</v>
      </c>
      <c r="C160" s="3" t="s">
        <v>842</v>
      </c>
      <c r="D160" s="3" t="s">
        <v>98</v>
      </c>
      <c r="E160" s="202">
        <v>298.12</v>
      </c>
      <c r="F160" s="3" t="s">
        <v>99</v>
      </c>
      <c r="G160" s="7"/>
    </row>
    <row r="161" spans="1:7" x14ac:dyDescent="0.3">
      <c r="A161" s="3">
        <v>42492600</v>
      </c>
      <c r="B161" s="3" t="s">
        <v>848</v>
      </c>
      <c r="C161" s="3" t="s">
        <v>849</v>
      </c>
      <c r="D161" s="3" t="s">
        <v>98</v>
      </c>
      <c r="E161" s="202">
        <v>216.76</v>
      </c>
      <c r="F161" s="3" t="s">
        <v>99</v>
      </c>
      <c r="G161" s="7"/>
    </row>
    <row r="162" spans="1:7" x14ac:dyDescent="0.35">
      <c r="E162" s="7"/>
      <c r="G162" s="7"/>
    </row>
    <row r="163" spans="1:7" x14ac:dyDescent="0.35">
      <c r="E163" s="7"/>
      <c r="G163" s="7"/>
    </row>
    <row r="164" spans="1:7" x14ac:dyDescent="0.35">
      <c r="E164" s="7"/>
      <c r="G164" s="7"/>
    </row>
    <row r="165" spans="1:7" x14ac:dyDescent="0.35">
      <c r="E165" s="7"/>
      <c r="G165" s="7"/>
    </row>
    <row r="166" spans="1:7" x14ac:dyDescent="0.35">
      <c r="E166" s="7"/>
      <c r="G166" s="7"/>
    </row>
    <row r="167" spans="1:7" x14ac:dyDescent="0.35">
      <c r="E167" s="7"/>
      <c r="G167" s="7"/>
    </row>
    <row r="168" spans="1:7" x14ac:dyDescent="0.35">
      <c r="E168" s="7"/>
      <c r="G168" s="7"/>
    </row>
    <row r="169" spans="1:7" x14ac:dyDescent="0.35">
      <c r="E169" s="7"/>
      <c r="G169" s="7"/>
    </row>
    <row r="170" spans="1:7" x14ac:dyDescent="0.35">
      <c r="E170" s="7"/>
      <c r="G170" s="7"/>
    </row>
    <row r="171" spans="1:7" x14ac:dyDescent="0.35">
      <c r="E171" s="7"/>
      <c r="G171" s="7"/>
    </row>
    <row r="172" spans="1:7" x14ac:dyDescent="0.35">
      <c r="E172" s="7"/>
      <c r="G172" s="7"/>
    </row>
    <row r="173" spans="1:7" x14ac:dyDescent="0.35">
      <c r="E173" s="7"/>
      <c r="G173" s="7"/>
    </row>
    <row r="174" spans="1:7" x14ac:dyDescent="0.35">
      <c r="E174" s="7"/>
      <c r="G174" s="7"/>
    </row>
    <row r="175" spans="1:7" x14ac:dyDescent="0.35">
      <c r="E175" s="7"/>
      <c r="G175" s="7"/>
    </row>
    <row r="176" spans="1:7" x14ac:dyDescent="0.35">
      <c r="E176" s="7"/>
      <c r="G176" s="7"/>
    </row>
    <row r="177" spans="5:7" x14ac:dyDescent="0.35">
      <c r="E177" s="7"/>
      <c r="G177" s="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FC51B-CD1D-4EDB-B7AF-86400AD9B21E}">
  <sheetPr codeName="Sheet4"/>
  <dimension ref="A1:L60"/>
  <sheetViews>
    <sheetView workbookViewId="0">
      <selection activeCell="I18" sqref="I18"/>
    </sheetView>
  </sheetViews>
  <sheetFormatPr defaultColWidth="8.7265625" defaultRowHeight="13" x14ac:dyDescent="0.3"/>
  <cols>
    <col min="1" max="1" width="12.453125" style="3" customWidth="1"/>
    <col min="2" max="2" width="43.54296875" style="3" customWidth="1"/>
    <col min="3" max="3" width="8.26953125" style="3" customWidth="1"/>
    <col min="4" max="4" width="10.81640625" style="3" customWidth="1"/>
    <col min="5" max="5" width="7.7265625" style="3" customWidth="1"/>
    <col min="6" max="9" width="8.7265625" style="3"/>
    <col min="10" max="10" width="17.1796875" style="181" customWidth="1"/>
    <col min="11" max="11" width="56.1796875" style="3" customWidth="1"/>
    <col min="12" max="12" width="4.26953125" style="3" bestFit="1" customWidth="1"/>
    <col min="13" max="16384" width="8.7265625" style="3"/>
  </cols>
  <sheetData>
    <row r="1" spans="1:12" ht="14.5" x14ac:dyDescent="0.35">
      <c r="A1" s="1" t="s">
        <v>89</v>
      </c>
      <c r="B1" s="1" t="s">
        <v>90</v>
      </c>
      <c r="C1" s="1" t="s">
        <v>79</v>
      </c>
      <c r="D1" s="1" t="s">
        <v>91</v>
      </c>
      <c r="E1" s="1" t="s">
        <v>92</v>
      </c>
      <c r="J1" s="179"/>
      <c r="K1" s="177"/>
      <c r="L1" s="177"/>
    </row>
    <row r="2" spans="1:12" ht="14.5" x14ac:dyDescent="0.35">
      <c r="A2" s="3">
        <v>2111045161</v>
      </c>
      <c r="B2" s="3" t="s">
        <v>454</v>
      </c>
      <c r="C2" s="3" t="s">
        <v>83</v>
      </c>
      <c r="D2" s="3">
        <v>0.38</v>
      </c>
      <c r="E2" s="3">
        <v>37.5</v>
      </c>
      <c r="J2" s="180"/>
      <c r="K2" s="178"/>
      <c r="L2" s="178"/>
    </row>
    <row r="3" spans="1:12" ht="14.5" x14ac:dyDescent="0.35">
      <c r="A3" s="3">
        <v>2111046949</v>
      </c>
      <c r="B3" s="3" t="s">
        <v>455</v>
      </c>
      <c r="C3" s="3" t="s">
        <v>496</v>
      </c>
      <c r="D3" s="3">
        <v>280</v>
      </c>
      <c r="E3" s="3">
        <v>1.92</v>
      </c>
      <c r="J3" s="180"/>
      <c r="K3" s="178"/>
      <c r="L3" s="178"/>
    </row>
    <row r="4" spans="1:12" ht="14.5" x14ac:dyDescent="0.35">
      <c r="A4" s="3">
        <v>2111047505</v>
      </c>
      <c r="B4" s="3" t="s">
        <v>456</v>
      </c>
      <c r="C4" s="3" t="s">
        <v>496</v>
      </c>
      <c r="D4" s="3">
        <v>0.3</v>
      </c>
      <c r="E4" s="3">
        <v>21.38</v>
      </c>
      <c r="J4" s="180"/>
      <c r="K4" s="178"/>
      <c r="L4" s="178"/>
    </row>
    <row r="5" spans="1:12" ht="14.5" x14ac:dyDescent="0.35">
      <c r="A5" s="3">
        <v>2111047636</v>
      </c>
      <c r="B5" s="3" t="s">
        <v>457</v>
      </c>
      <c r="C5" s="3" t="s">
        <v>496</v>
      </c>
      <c r="D5" s="3">
        <v>27.7</v>
      </c>
      <c r="E5" s="3">
        <v>14.64</v>
      </c>
      <c r="J5" s="180"/>
      <c r="K5" s="178"/>
      <c r="L5" s="178"/>
    </row>
    <row r="6" spans="1:12" ht="14.5" x14ac:dyDescent="0.35">
      <c r="A6" s="3">
        <v>2111047805</v>
      </c>
      <c r="B6" s="3" t="s">
        <v>93</v>
      </c>
      <c r="C6" s="3" t="s">
        <v>496</v>
      </c>
      <c r="D6" s="3">
        <v>27.65</v>
      </c>
      <c r="E6" s="3">
        <v>112.5</v>
      </c>
      <c r="J6" s="180"/>
      <c r="K6" s="178"/>
      <c r="L6" s="178"/>
    </row>
    <row r="7" spans="1:12" ht="14.5" x14ac:dyDescent="0.35">
      <c r="A7" s="3">
        <v>2111047945</v>
      </c>
      <c r="B7" s="3" t="s">
        <v>458</v>
      </c>
      <c r="C7" s="3" t="s">
        <v>496</v>
      </c>
      <c r="D7" s="3">
        <v>1.4</v>
      </c>
      <c r="E7" s="3">
        <v>37.950000000000003</v>
      </c>
      <c r="J7" s="180"/>
      <c r="K7" s="178"/>
      <c r="L7" s="178"/>
    </row>
    <row r="8" spans="1:12" ht="14.5" x14ac:dyDescent="0.35">
      <c r="A8" s="3">
        <v>2111048084</v>
      </c>
      <c r="B8" s="3" t="s">
        <v>456</v>
      </c>
      <c r="C8" s="3" t="s">
        <v>496</v>
      </c>
      <c r="D8" s="3">
        <v>2.9</v>
      </c>
      <c r="E8" s="3">
        <v>21.83</v>
      </c>
      <c r="J8" s="180"/>
      <c r="K8" s="178"/>
      <c r="L8" s="178"/>
    </row>
    <row r="9" spans="1:12" ht="14.5" x14ac:dyDescent="0.35">
      <c r="A9" s="3">
        <v>2111048085</v>
      </c>
      <c r="B9" s="3" t="s">
        <v>459</v>
      </c>
      <c r="C9" s="3" t="s">
        <v>496</v>
      </c>
      <c r="D9" s="3">
        <v>4.7</v>
      </c>
      <c r="E9" s="3">
        <v>21.6</v>
      </c>
      <c r="J9" s="180"/>
      <c r="K9" s="178"/>
      <c r="L9" s="178"/>
    </row>
    <row r="10" spans="1:12" ht="14.5" x14ac:dyDescent="0.35">
      <c r="A10" s="3">
        <v>2111048086</v>
      </c>
      <c r="B10" s="3" t="s">
        <v>459</v>
      </c>
      <c r="C10" s="3" t="s">
        <v>496</v>
      </c>
      <c r="D10" s="3">
        <v>0.8</v>
      </c>
      <c r="E10" s="3">
        <v>21.83</v>
      </c>
      <c r="J10" s="180"/>
      <c r="K10" s="178"/>
      <c r="L10" s="178"/>
    </row>
    <row r="11" spans="1:12" ht="14.5" x14ac:dyDescent="0.35">
      <c r="A11" s="3">
        <v>2111048090</v>
      </c>
      <c r="B11" s="3" t="s">
        <v>460</v>
      </c>
      <c r="C11" s="3" t="s">
        <v>497</v>
      </c>
      <c r="D11" s="3">
        <v>0.16700000000000001</v>
      </c>
      <c r="E11" s="3">
        <v>4906.49</v>
      </c>
      <c r="J11" s="180"/>
      <c r="K11" s="178"/>
      <c r="L11" s="178"/>
    </row>
    <row r="12" spans="1:12" ht="14.5" x14ac:dyDescent="0.35">
      <c r="A12" s="3">
        <v>2111048091</v>
      </c>
      <c r="B12" s="3" t="s">
        <v>460</v>
      </c>
      <c r="C12" s="3" t="s">
        <v>497</v>
      </c>
      <c r="D12" s="3">
        <v>0.2</v>
      </c>
      <c r="E12" s="3">
        <v>4866.6499999999996</v>
      </c>
      <c r="J12" s="180"/>
      <c r="K12" s="178"/>
      <c r="L12" s="178"/>
    </row>
    <row r="13" spans="1:12" ht="14.5" x14ac:dyDescent="0.35">
      <c r="A13" s="3">
        <v>2111048115</v>
      </c>
      <c r="B13" s="3" t="s">
        <v>461</v>
      </c>
      <c r="C13" s="3" t="s">
        <v>499</v>
      </c>
      <c r="D13" s="3">
        <v>140</v>
      </c>
      <c r="E13" s="3">
        <v>77.08</v>
      </c>
      <c r="J13" s="180"/>
      <c r="K13" s="178"/>
      <c r="L13" s="178"/>
    </row>
    <row r="14" spans="1:12" ht="14.5" x14ac:dyDescent="0.35">
      <c r="A14" s="3">
        <v>2111048116</v>
      </c>
      <c r="B14" s="3" t="s">
        <v>462</v>
      </c>
      <c r="C14" s="3" t="s">
        <v>499</v>
      </c>
      <c r="D14" s="3">
        <v>140</v>
      </c>
      <c r="E14" s="3">
        <v>57.92</v>
      </c>
      <c r="J14" s="180"/>
      <c r="K14" s="178"/>
      <c r="L14" s="178"/>
    </row>
    <row r="15" spans="1:12" ht="14.5" x14ac:dyDescent="0.35">
      <c r="A15" s="3">
        <v>2111048410</v>
      </c>
      <c r="B15" s="3" t="s">
        <v>463</v>
      </c>
      <c r="C15" s="3" t="s">
        <v>496</v>
      </c>
      <c r="D15" s="3">
        <v>60</v>
      </c>
      <c r="E15" s="3">
        <v>2.08</v>
      </c>
      <c r="J15" s="180"/>
      <c r="K15" s="178"/>
      <c r="L15" s="178"/>
    </row>
    <row r="16" spans="1:12" ht="14.5" x14ac:dyDescent="0.35">
      <c r="A16" s="3">
        <v>2111050941</v>
      </c>
      <c r="B16" s="3" t="s">
        <v>464</v>
      </c>
      <c r="C16" s="3" t="s">
        <v>496</v>
      </c>
      <c r="D16" s="3">
        <v>2.7040000000000002</v>
      </c>
      <c r="E16" s="3">
        <v>56.66</v>
      </c>
      <c r="J16" s="180"/>
      <c r="K16" s="178"/>
      <c r="L16" s="178"/>
    </row>
    <row r="17" spans="1:12" ht="14.5" x14ac:dyDescent="0.35">
      <c r="A17" s="3">
        <v>2111065226</v>
      </c>
      <c r="B17" s="3" t="s">
        <v>465</v>
      </c>
      <c r="C17" s="3" t="s">
        <v>496</v>
      </c>
      <c r="D17" s="3">
        <v>52</v>
      </c>
      <c r="E17" s="3">
        <v>22.59</v>
      </c>
      <c r="J17" s="180"/>
      <c r="K17" s="178"/>
      <c r="L17" s="178"/>
    </row>
    <row r="18" spans="1:12" ht="14.5" x14ac:dyDescent="0.35">
      <c r="A18" s="3">
        <v>2111065230</v>
      </c>
      <c r="B18" s="3" t="s">
        <v>466</v>
      </c>
      <c r="C18" s="3" t="s">
        <v>83</v>
      </c>
      <c r="D18" s="3">
        <v>2</v>
      </c>
      <c r="E18" s="3">
        <v>2376.81</v>
      </c>
      <c r="J18" s="180"/>
      <c r="K18" s="178"/>
      <c r="L18" s="178"/>
    </row>
    <row r="19" spans="1:12" ht="14.5" x14ac:dyDescent="0.35">
      <c r="A19" s="3">
        <v>2111065466</v>
      </c>
      <c r="B19" s="3" t="s">
        <v>467</v>
      </c>
      <c r="C19" s="3" t="s">
        <v>83</v>
      </c>
      <c r="D19" s="3">
        <v>2</v>
      </c>
      <c r="E19" s="3">
        <v>84.25</v>
      </c>
      <c r="J19" s="180"/>
      <c r="K19" s="178"/>
      <c r="L19" s="178"/>
    </row>
    <row r="20" spans="1:12" ht="14.5" x14ac:dyDescent="0.35">
      <c r="A20" s="3">
        <v>2111065467</v>
      </c>
      <c r="B20" s="3" t="s">
        <v>468</v>
      </c>
      <c r="C20" s="3" t="s">
        <v>83</v>
      </c>
      <c r="D20" s="3">
        <v>1</v>
      </c>
      <c r="E20" s="3">
        <v>19.989999999999998</v>
      </c>
      <c r="J20" s="180"/>
      <c r="K20" s="178"/>
      <c r="L20" s="178"/>
    </row>
    <row r="21" spans="1:12" ht="14.5" x14ac:dyDescent="0.35">
      <c r="A21" s="3">
        <v>2111121664</v>
      </c>
      <c r="B21" s="3" t="s">
        <v>469</v>
      </c>
      <c r="C21" s="3" t="s">
        <v>499</v>
      </c>
      <c r="D21" s="3">
        <v>35</v>
      </c>
      <c r="E21" s="3">
        <v>19.72</v>
      </c>
      <c r="J21" s="180"/>
      <c r="K21" s="178"/>
      <c r="L21" s="178"/>
    </row>
    <row r="22" spans="1:12" ht="14.5" x14ac:dyDescent="0.35">
      <c r="A22" s="3">
        <v>2111142674</v>
      </c>
      <c r="B22" s="3" t="s">
        <v>470</v>
      </c>
      <c r="C22" s="3" t="s">
        <v>498</v>
      </c>
      <c r="D22" s="3">
        <v>1.07</v>
      </c>
      <c r="E22" s="3">
        <v>200</v>
      </c>
      <c r="J22" s="180"/>
      <c r="K22" s="178"/>
      <c r="L22" s="178"/>
    </row>
    <row r="23" spans="1:12" ht="14.5" x14ac:dyDescent="0.35">
      <c r="A23" s="3">
        <v>2111150728</v>
      </c>
      <c r="B23" s="3" t="s">
        <v>471</v>
      </c>
      <c r="C23" s="3" t="s">
        <v>83</v>
      </c>
      <c r="D23" s="3">
        <v>4</v>
      </c>
      <c r="E23" s="3">
        <v>15</v>
      </c>
      <c r="J23" s="180"/>
      <c r="K23" s="178"/>
      <c r="L23" s="178"/>
    </row>
    <row r="24" spans="1:12" ht="14.5" x14ac:dyDescent="0.35">
      <c r="A24" s="3">
        <v>2111150733</v>
      </c>
      <c r="B24" s="3" t="s">
        <v>96</v>
      </c>
      <c r="C24" s="3" t="s">
        <v>497</v>
      </c>
      <c r="D24" s="3">
        <v>0.5</v>
      </c>
      <c r="E24" s="3">
        <v>14.67</v>
      </c>
      <c r="J24" s="180"/>
      <c r="K24" s="178"/>
      <c r="L24" s="178"/>
    </row>
    <row r="25" spans="1:12" ht="14.5" x14ac:dyDescent="0.35">
      <c r="A25" s="3">
        <v>2111168390</v>
      </c>
      <c r="B25" s="3" t="s">
        <v>472</v>
      </c>
      <c r="C25" s="3" t="s">
        <v>499</v>
      </c>
      <c r="D25" s="3">
        <v>2</v>
      </c>
      <c r="E25" s="3">
        <v>23.5</v>
      </c>
      <c r="J25" s="180"/>
      <c r="K25" s="178"/>
      <c r="L25" s="178"/>
    </row>
    <row r="26" spans="1:12" ht="14.5" x14ac:dyDescent="0.35">
      <c r="A26" s="3">
        <v>2111169274</v>
      </c>
      <c r="B26" s="3" t="s">
        <v>473</v>
      </c>
      <c r="C26" s="3" t="s">
        <v>83</v>
      </c>
      <c r="D26" s="3">
        <v>3</v>
      </c>
      <c r="E26" s="3">
        <v>17.13</v>
      </c>
      <c r="J26" s="180"/>
      <c r="K26" s="178"/>
      <c r="L26" s="178"/>
    </row>
    <row r="27" spans="1:12" ht="14.5" x14ac:dyDescent="0.35">
      <c r="A27" s="3">
        <v>2111169436</v>
      </c>
      <c r="B27" s="3" t="s">
        <v>474</v>
      </c>
      <c r="C27" s="3" t="s">
        <v>83</v>
      </c>
      <c r="D27" s="3">
        <v>4</v>
      </c>
      <c r="E27" s="3">
        <v>8833.34</v>
      </c>
      <c r="J27" s="180"/>
      <c r="K27" s="178"/>
      <c r="L27" s="178"/>
    </row>
    <row r="28" spans="1:12" ht="14.5" x14ac:dyDescent="0.35">
      <c r="A28" s="3">
        <v>2111169550</v>
      </c>
      <c r="B28" s="3" t="s">
        <v>475</v>
      </c>
      <c r="C28" s="3" t="s">
        <v>498</v>
      </c>
      <c r="D28" s="3">
        <v>2.2999999999999998</v>
      </c>
      <c r="E28" s="3">
        <v>270</v>
      </c>
      <c r="J28" s="180"/>
      <c r="K28" s="178"/>
      <c r="L28" s="178"/>
    </row>
    <row r="29" spans="1:12" ht="14.5" x14ac:dyDescent="0.35">
      <c r="A29" s="3">
        <v>2111196280</v>
      </c>
      <c r="B29" s="3" t="s">
        <v>476</v>
      </c>
      <c r="C29" s="3" t="s">
        <v>83</v>
      </c>
      <c r="D29" s="3">
        <v>0.7</v>
      </c>
      <c r="E29" s="3">
        <v>20</v>
      </c>
      <c r="J29" s="180"/>
      <c r="K29" s="178"/>
      <c r="L29" s="178"/>
    </row>
    <row r="30" spans="1:12" ht="14.5" x14ac:dyDescent="0.35">
      <c r="A30" s="3">
        <v>2111196401</v>
      </c>
      <c r="B30" s="3" t="s">
        <v>477</v>
      </c>
      <c r="C30" s="3" t="s">
        <v>83</v>
      </c>
      <c r="D30" s="3">
        <v>0.6</v>
      </c>
      <c r="E30" s="3">
        <v>302</v>
      </c>
      <c r="J30" s="180"/>
      <c r="K30" s="178"/>
      <c r="L30" s="178"/>
    </row>
    <row r="31" spans="1:12" ht="14.5" x14ac:dyDescent="0.35">
      <c r="A31" s="3">
        <v>2111196764</v>
      </c>
      <c r="B31" s="3" t="s">
        <v>478</v>
      </c>
      <c r="C31" s="3" t="s">
        <v>496</v>
      </c>
      <c r="D31" s="3">
        <v>7.5</v>
      </c>
      <c r="E31" s="3">
        <v>21.6</v>
      </c>
      <c r="J31" s="180"/>
      <c r="K31" s="178"/>
      <c r="L31" s="178"/>
    </row>
    <row r="32" spans="1:12" ht="14.5" x14ac:dyDescent="0.35">
      <c r="A32" s="3">
        <v>2111197025</v>
      </c>
      <c r="B32" s="3" t="s">
        <v>479</v>
      </c>
      <c r="C32" s="3" t="s">
        <v>83</v>
      </c>
      <c r="D32" s="3">
        <v>0.5</v>
      </c>
      <c r="E32" s="3">
        <v>51.57</v>
      </c>
      <c r="J32" s="180"/>
      <c r="K32" s="178"/>
      <c r="L32" s="178"/>
    </row>
    <row r="33" spans="1:12" ht="14.5" x14ac:dyDescent="0.35">
      <c r="A33" s="3">
        <v>2111197290</v>
      </c>
      <c r="B33" s="3" t="s">
        <v>480</v>
      </c>
      <c r="C33" s="3" t="s">
        <v>83</v>
      </c>
      <c r="D33" s="3">
        <v>10</v>
      </c>
      <c r="E33" s="3">
        <v>166.67</v>
      </c>
      <c r="J33" s="180"/>
      <c r="K33" s="178"/>
      <c r="L33" s="178"/>
    </row>
    <row r="34" spans="1:12" ht="14.5" x14ac:dyDescent="0.35">
      <c r="A34" s="3">
        <v>2111197738</v>
      </c>
      <c r="B34" s="3" t="s">
        <v>482</v>
      </c>
      <c r="C34" s="3" t="s">
        <v>83</v>
      </c>
      <c r="D34" s="3">
        <v>100</v>
      </c>
      <c r="E34" s="3">
        <v>0.8</v>
      </c>
      <c r="J34" s="180"/>
      <c r="K34" s="178"/>
      <c r="L34" s="178"/>
    </row>
    <row r="35" spans="1:12" ht="14.5" x14ac:dyDescent="0.35">
      <c r="A35" s="3">
        <v>2111197739</v>
      </c>
      <c r="B35" s="3" t="s">
        <v>481</v>
      </c>
      <c r="C35" s="3" t="s">
        <v>83</v>
      </c>
      <c r="D35" s="3">
        <v>100</v>
      </c>
      <c r="E35" s="3">
        <v>0.46</v>
      </c>
      <c r="J35" s="180"/>
      <c r="K35" s="178"/>
      <c r="L35" s="178"/>
    </row>
    <row r="36" spans="1:12" ht="14.5" x14ac:dyDescent="0.35">
      <c r="A36" s="3">
        <v>2111207277</v>
      </c>
      <c r="B36" s="3" t="s">
        <v>483</v>
      </c>
      <c r="C36" s="3" t="s">
        <v>499</v>
      </c>
      <c r="D36" s="3">
        <v>3</v>
      </c>
      <c r="E36" s="3">
        <v>90.97</v>
      </c>
      <c r="J36" s="180"/>
      <c r="K36" s="178"/>
      <c r="L36" s="178"/>
    </row>
    <row r="37" spans="1:12" ht="14.5" x14ac:dyDescent="0.35">
      <c r="A37" s="3">
        <v>2111222765</v>
      </c>
      <c r="B37" s="3" t="s">
        <v>484</v>
      </c>
      <c r="C37" s="3" t="s">
        <v>496</v>
      </c>
      <c r="D37" s="3">
        <v>4.3899999999999997</v>
      </c>
      <c r="E37" s="3">
        <v>42.65</v>
      </c>
      <c r="J37" s="180"/>
      <c r="K37" s="178"/>
      <c r="L37" s="178"/>
    </row>
    <row r="38" spans="1:12" ht="14.5" x14ac:dyDescent="0.35">
      <c r="A38" s="3">
        <v>2111222818</v>
      </c>
      <c r="B38" s="3" t="s">
        <v>97</v>
      </c>
      <c r="C38" s="3" t="s">
        <v>496</v>
      </c>
      <c r="D38" s="3">
        <v>0.7</v>
      </c>
      <c r="E38" s="3">
        <v>46.13</v>
      </c>
      <c r="J38" s="180"/>
      <c r="K38" s="178"/>
      <c r="L38" s="178"/>
    </row>
    <row r="39" spans="1:12" ht="14.5" x14ac:dyDescent="0.35">
      <c r="A39" s="3">
        <v>2111223040</v>
      </c>
      <c r="B39" s="3" t="s">
        <v>485</v>
      </c>
      <c r="C39" s="3" t="s">
        <v>496</v>
      </c>
      <c r="D39" s="3">
        <v>2.7</v>
      </c>
      <c r="E39" s="3">
        <v>46.13</v>
      </c>
      <c r="J39" s="180"/>
      <c r="K39" s="178"/>
      <c r="L39" s="178"/>
    </row>
    <row r="40" spans="1:12" ht="14.5" x14ac:dyDescent="0.35">
      <c r="A40" s="3">
        <v>2111223041</v>
      </c>
      <c r="B40" s="3" t="s">
        <v>486</v>
      </c>
      <c r="C40" s="3" t="s">
        <v>496</v>
      </c>
      <c r="D40" s="3">
        <v>0.8</v>
      </c>
      <c r="E40" s="3">
        <v>43.13</v>
      </c>
      <c r="J40" s="180"/>
      <c r="K40" s="178"/>
      <c r="L40" s="178"/>
    </row>
    <row r="41" spans="1:12" ht="14.5" x14ac:dyDescent="0.35">
      <c r="A41" s="3">
        <v>2111223055</v>
      </c>
      <c r="B41" s="3" t="s">
        <v>486</v>
      </c>
      <c r="C41" s="3" t="s">
        <v>496</v>
      </c>
      <c r="D41" s="3">
        <v>5.4</v>
      </c>
      <c r="E41" s="3">
        <v>46.13</v>
      </c>
      <c r="J41" s="180"/>
      <c r="K41" s="178"/>
      <c r="L41" s="178"/>
    </row>
    <row r="42" spans="1:12" ht="14.5" x14ac:dyDescent="0.35">
      <c r="A42" s="3">
        <v>2111223085</v>
      </c>
      <c r="B42" s="3" t="s">
        <v>487</v>
      </c>
      <c r="C42" s="3" t="s">
        <v>496</v>
      </c>
      <c r="D42" s="3">
        <v>18.5</v>
      </c>
      <c r="E42" s="3">
        <v>42.65</v>
      </c>
      <c r="J42" s="180"/>
      <c r="K42" s="178"/>
      <c r="L42" s="178"/>
    </row>
    <row r="43" spans="1:12" ht="14.5" x14ac:dyDescent="0.35">
      <c r="A43" s="3">
        <v>2111223087</v>
      </c>
      <c r="B43" s="3" t="s">
        <v>488</v>
      </c>
      <c r="C43" s="3" t="s">
        <v>496</v>
      </c>
      <c r="D43" s="3">
        <v>7.6</v>
      </c>
      <c r="E43" s="3">
        <v>43.52</v>
      </c>
      <c r="J43" s="180"/>
      <c r="K43" s="178"/>
      <c r="L43" s="178"/>
    </row>
    <row r="44" spans="1:12" ht="14.5" x14ac:dyDescent="0.35">
      <c r="A44" s="3">
        <v>2111223114</v>
      </c>
      <c r="B44" s="3" t="s">
        <v>489</v>
      </c>
      <c r="C44" s="3" t="s">
        <v>496</v>
      </c>
      <c r="D44" s="3">
        <v>2.7</v>
      </c>
      <c r="E44" s="3">
        <v>55.7</v>
      </c>
      <c r="J44" s="180"/>
      <c r="K44" s="178"/>
      <c r="L44" s="178"/>
    </row>
    <row r="45" spans="1:12" ht="14.5" x14ac:dyDescent="0.35">
      <c r="A45" s="3">
        <v>92111020470</v>
      </c>
      <c r="B45" s="3" t="s">
        <v>490</v>
      </c>
      <c r="C45" s="3" t="s">
        <v>496</v>
      </c>
      <c r="D45" s="3">
        <v>10</v>
      </c>
      <c r="E45" s="3">
        <v>12.25</v>
      </c>
      <c r="J45" s="180"/>
      <c r="K45" s="178"/>
      <c r="L45" s="178"/>
    </row>
    <row r="46" spans="1:12" ht="14.5" x14ac:dyDescent="0.35">
      <c r="A46" s="3">
        <v>92111062254</v>
      </c>
      <c r="B46" s="3" t="s">
        <v>491</v>
      </c>
      <c r="C46" s="3" t="s">
        <v>498</v>
      </c>
      <c r="D46" s="3">
        <v>3.4000000000000002E-2</v>
      </c>
      <c r="E46" s="3">
        <v>13695</v>
      </c>
      <c r="J46" s="180"/>
      <c r="K46" s="178"/>
      <c r="L46" s="178"/>
    </row>
    <row r="47" spans="1:12" ht="14.5" x14ac:dyDescent="0.35">
      <c r="A47" s="3">
        <v>92111062494</v>
      </c>
      <c r="B47" s="3" t="s">
        <v>94</v>
      </c>
      <c r="C47" s="3" t="s">
        <v>499</v>
      </c>
      <c r="D47" s="3">
        <v>45</v>
      </c>
      <c r="E47" s="3">
        <v>33.25</v>
      </c>
      <c r="J47" s="180"/>
      <c r="K47" s="178"/>
      <c r="L47" s="178"/>
    </row>
    <row r="48" spans="1:12" ht="14.5" x14ac:dyDescent="0.35">
      <c r="A48" s="3">
        <v>92111064145</v>
      </c>
      <c r="B48" s="3" t="s">
        <v>492</v>
      </c>
      <c r="C48" s="3" t="s">
        <v>496</v>
      </c>
      <c r="D48" s="3">
        <v>5.6</v>
      </c>
      <c r="E48" s="3">
        <v>95.83</v>
      </c>
      <c r="J48" s="180"/>
      <c r="K48" s="178"/>
      <c r="L48" s="178"/>
    </row>
    <row r="49" spans="1:12" ht="14.5" x14ac:dyDescent="0.35">
      <c r="A49" s="3">
        <v>92111064597</v>
      </c>
      <c r="B49" s="3" t="s">
        <v>95</v>
      </c>
      <c r="C49" s="3" t="s">
        <v>496</v>
      </c>
      <c r="D49" s="3">
        <v>10</v>
      </c>
      <c r="E49" s="3">
        <v>134.69999999999999</v>
      </c>
      <c r="J49" s="180"/>
      <c r="K49" s="178"/>
      <c r="L49" s="178"/>
    </row>
    <row r="50" spans="1:12" ht="14.5" x14ac:dyDescent="0.35">
      <c r="A50" s="3">
        <v>92111110107</v>
      </c>
      <c r="B50" s="3" t="s">
        <v>493</v>
      </c>
      <c r="C50" s="3" t="s">
        <v>499</v>
      </c>
      <c r="D50" s="3">
        <v>3</v>
      </c>
      <c r="E50" s="3">
        <v>32.5</v>
      </c>
      <c r="J50" s="180"/>
      <c r="K50" s="178"/>
      <c r="L50" s="178"/>
    </row>
    <row r="51" spans="1:12" ht="14.5" x14ac:dyDescent="0.35">
      <c r="A51" s="3">
        <v>92111204732</v>
      </c>
      <c r="B51" s="3" t="s">
        <v>494</v>
      </c>
      <c r="C51" s="3" t="s">
        <v>499</v>
      </c>
      <c r="D51" s="3">
        <v>5.5</v>
      </c>
      <c r="E51" s="3">
        <v>23.1</v>
      </c>
      <c r="J51" s="180"/>
      <c r="K51" s="178"/>
      <c r="L51" s="178"/>
    </row>
    <row r="52" spans="1:12" ht="14.5" x14ac:dyDescent="0.35">
      <c r="A52" s="3">
        <v>92111221358</v>
      </c>
      <c r="B52" s="3" t="s">
        <v>495</v>
      </c>
      <c r="C52" s="3" t="s">
        <v>83</v>
      </c>
      <c r="D52" s="3">
        <v>1</v>
      </c>
      <c r="E52" s="3">
        <v>833.33</v>
      </c>
      <c r="J52" s="180"/>
      <c r="K52" s="178"/>
      <c r="L52" s="178"/>
    </row>
    <row r="53" spans="1:12" ht="14.5" x14ac:dyDescent="0.35">
      <c r="A53" s="3">
        <v>2114022245</v>
      </c>
      <c r="B53" s="3" t="s">
        <v>500</v>
      </c>
      <c r="C53" s="3" t="s">
        <v>501</v>
      </c>
      <c r="D53" s="3">
        <v>30</v>
      </c>
      <c r="E53" s="3">
        <v>18.5</v>
      </c>
      <c r="J53" s="180"/>
      <c r="K53" s="178"/>
      <c r="L53" s="178"/>
    </row>
    <row r="54" spans="1:12" ht="14.5" x14ac:dyDescent="0.35">
      <c r="A54" s="3">
        <v>2114022227</v>
      </c>
      <c r="B54" s="3" t="s">
        <v>500</v>
      </c>
      <c r="C54" s="3" t="s">
        <v>501</v>
      </c>
      <c r="D54" s="3">
        <v>3</v>
      </c>
      <c r="E54" s="3">
        <v>18.72</v>
      </c>
      <c r="J54" s="180"/>
      <c r="K54" s="178"/>
      <c r="L54" s="178"/>
    </row>
    <row r="55" spans="1:12" ht="14.5" x14ac:dyDescent="0.35">
      <c r="A55" s="3">
        <v>2111047233</v>
      </c>
      <c r="B55" s="3" t="s">
        <v>502</v>
      </c>
      <c r="C55" s="3" t="s">
        <v>83</v>
      </c>
      <c r="D55" s="3">
        <v>2</v>
      </c>
      <c r="E55" s="3">
        <v>93.5</v>
      </c>
      <c r="J55" s="180"/>
      <c r="K55" s="178"/>
      <c r="L55" s="178"/>
    </row>
    <row r="56" spans="1:12" x14ac:dyDescent="0.3">
      <c r="A56" s="3">
        <v>2111048537</v>
      </c>
      <c r="B56" s="3" t="s">
        <v>463</v>
      </c>
      <c r="C56" s="3" t="s">
        <v>496</v>
      </c>
      <c r="D56" s="3">
        <v>320</v>
      </c>
      <c r="E56" s="3">
        <v>2.29</v>
      </c>
    </row>
    <row r="57" spans="1:12" x14ac:dyDescent="0.3">
      <c r="A57" s="3">
        <v>2111207861</v>
      </c>
      <c r="B57" s="3" t="s">
        <v>503</v>
      </c>
      <c r="C57" s="3" t="s">
        <v>499</v>
      </c>
      <c r="D57" s="3">
        <v>2</v>
      </c>
      <c r="E57" s="3">
        <v>125.97</v>
      </c>
    </row>
    <row r="58" spans="1:12" x14ac:dyDescent="0.3">
      <c r="A58" s="3">
        <v>2111207863</v>
      </c>
      <c r="B58" s="3" t="s">
        <v>504</v>
      </c>
      <c r="C58" s="3" t="s">
        <v>499</v>
      </c>
      <c r="D58" s="3">
        <v>2</v>
      </c>
      <c r="E58" s="3">
        <v>154.22</v>
      </c>
    </row>
    <row r="59" spans="1:12" x14ac:dyDescent="0.3">
      <c r="A59" s="3">
        <v>2112210759</v>
      </c>
      <c r="B59" s="3" t="s">
        <v>505</v>
      </c>
      <c r="C59" s="3" t="s">
        <v>501</v>
      </c>
      <c r="D59" s="3">
        <v>2</v>
      </c>
      <c r="E59" s="3">
        <v>43.33</v>
      </c>
    </row>
    <row r="60" spans="1:12" x14ac:dyDescent="0.3">
      <c r="A60" s="3">
        <v>2112210761</v>
      </c>
      <c r="B60" s="3" t="s">
        <v>506</v>
      </c>
      <c r="C60" s="3" t="s">
        <v>496</v>
      </c>
      <c r="D60" s="3">
        <v>17</v>
      </c>
      <c r="E60" s="3">
        <v>55.67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AEB0-B262-436D-976E-B7E52C25C547}">
  <sheetPr codeName="Sheet3"/>
  <dimension ref="A1:D59"/>
  <sheetViews>
    <sheetView zoomScaleNormal="100" workbookViewId="0">
      <selection activeCell="B19" sqref="B19"/>
    </sheetView>
  </sheetViews>
  <sheetFormatPr defaultColWidth="8.7265625" defaultRowHeight="13" x14ac:dyDescent="0.3"/>
  <cols>
    <col min="1" max="1" width="15.54296875" style="6" customWidth="1"/>
    <col min="2" max="2" width="136.6328125" style="6" customWidth="1"/>
    <col min="3" max="3" width="11.7265625" style="6" customWidth="1"/>
    <col min="4" max="4" width="11" style="6" customWidth="1"/>
    <col min="5" max="16384" width="8.7265625" style="6"/>
  </cols>
  <sheetData>
    <row r="1" spans="1:4" x14ac:dyDescent="0.3">
      <c r="A1" s="5" t="s">
        <v>77</v>
      </c>
      <c r="B1" s="5" t="s">
        <v>78</v>
      </c>
      <c r="C1" s="5" t="s">
        <v>79</v>
      </c>
      <c r="D1" s="5" t="s">
        <v>80</v>
      </c>
    </row>
    <row r="2" spans="1:4" x14ac:dyDescent="0.3">
      <c r="A2" s="182" t="s">
        <v>507</v>
      </c>
      <c r="B2" s="182" t="s">
        <v>508</v>
      </c>
      <c r="C2" s="183" t="s">
        <v>509</v>
      </c>
      <c r="D2" s="184">
        <v>2.34</v>
      </c>
    </row>
    <row r="3" spans="1:4" x14ac:dyDescent="0.3">
      <c r="A3" s="182" t="s">
        <v>510</v>
      </c>
      <c r="B3" s="182" t="s">
        <v>511</v>
      </c>
      <c r="C3" s="183" t="s">
        <v>509</v>
      </c>
      <c r="D3" s="184">
        <v>1.55</v>
      </c>
    </row>
    <row r="4" spans="1:4" x14ac:dyDescent="0.3">
      <c r="A4" s="182" t="s">
        <v>512</v>
      </c>
      <c r="B4" s="182" t="s">
        <v>513</v>
      </c>
      <c r="C4" s="183" t="s">
        <v>498</v>
      </c>
      <c r="D4" s="184">
        <v>1.36</v>
      </c>
    </row>
    <row r="5" spans="1:4" x14ac:dyDescent="0.3">
      <c r="A5" s="182" t="s">
        <v>86</v>
      </c>
      <c r="B5" s="182" t="s">
        <v>592</v>
      </c>
      <c r="C5" s="183" t="s">
        <v>83</v>
      </c>
      <c r="D5" s="184">
        <v>0.33</v>
      </c>
    </row>
    <row r="6" spans="1:4" x14ac:dyDescent="0.3">
      <c r="A6" s="182" t="s">
        <v>514</v>
      </c>
      <c r="B6" s="182" t="s">
        <v>593</v>
      </c>
      <c r="C6" s="183" t="s">
        <v>83</v>
      </c>
      <c r="D6" s="184">
        <v>0.42</v>
      </c>
    </row>
    <row r="7" spans="1:4" x14ac:dyDescent="0.3">
      <c r="A7" s="182" t="s">
        <v>515</v>
      </c>
      <c r="B7" s="182" t="s">
        <v>594</v>
      </c>
      <c r="C7" s="183" t="s">
        <v>83</v>
      </c>
      <c r="D7" s="184">
        <v>0.78</v>
      </c>
    </row>
    <row r="8" spans="1:4" x14ac:dyDescent="0.3">
      <c r="A8" s="182" t="s">
        <v>516</v>
      </c>
      <c r="B8" s="182" t="s">
        <v>595</v>
      </c>
      <c r="C8" s="183" t="s">
        <v>83</v>
      </c>
      <c r="D8" s="184">
        <v>0.96</v>
      </c>
    </row>
    <row r="9" spans="1:4" x14ac:dyDescent="0.3">
      <c r="A9" s="182" t="s">
        <v>517</v>
      </c>
      <c r="B9" s="182" t="s">
        <v>518</v>
      </c>
      <c r="C9" s="183" t="s">
        <v>519</v>
      </c>
      <c r="D9" s="184">
        <v>1</v>
      </c>
    </row>
    <row r="10" spans="1:4" x14ac:dyDescent="0.3">
      <c r="A10" s="182" t="s">
        <v>520</v>
      </c>
      <c r="B10" s="182" t="s">
        <v>596</v>
      </c>
      <c r="C10" s="183" t="s">
        <v>519</v>
      </c>
      <c r="D10" s="184">
        <f>0.95+0.05</f>
        <v>1</v>
      </c>
    </row>
    <row r="11" spans="1:4" x14ac:dyDescent="0.3">
      <c r="A11" s="182" t="s">
        <v>521</v>
      </c>
      <c r="B11" s="182" t="s">
        <v>522</v>
      </c>
      <c r="C11" s="183" t="s">
        <v>519</v>
      </c>
      <c r="D11" s="184">
        <f>2.3+0.24</f>
        <v>2.54</v>
      </c>
    </row>
    <row r="12" spans="1:4" x14ac:dyDescent="0.3">
      <c r="A12" s="182" t="s">
        <v>523</v>
      </c>
      <c r="B12" s="182" t="s">
        <v>524</v>
      </c>
      <c r="C12" s="183" t="s">
        <v>519</v>
      </c>
      <c r="D12" s="184">
        <v>1.1000000000000001</v>
      </c>
    </row>
    <row r="13" spans="1:4" x14ac:dyDescent="0.3">
      <c r="A13" s="182" t="s">
        <v>525</v>
      </c>
      <c r="B13" s="182" t="s">
        <v>526</v>
      </c>
      <c r="C13" s="183" t="s">
        <v>519</v>
      </c>
      <c r="D13" s="184">
        <v>0.7</v>
      </c>
    </row>
    <row r="14" spans="1:4" x14ac:dyDescent="0.3">
      <c r="A14" s="182" t="s">
        <v>527</v>
      </c>
      <c r="B14" s="182" t="s">
        <v>528</v>
      </c>
      <c r="C14" s="183" t="s">
        <v>519</v>
      </c>
      <c r="D14" s="184">
        <v>1.1200000000000001</v>
      </c>
    </row>
    <row r="15" spans="1:4" x14ac:dyDescent="0.3">
      <c r="A15" s="182" t="s">
        <v>529</v>
      </c>
      <c r="B15" s="182" t="s">
        <v>530</v>
      </c>
      <c r="C15" s="183" t="s">
        <v>519</v>
      </c>
      <c r="D15" s="184">
        <v>1</v>
      </c>
    </row>
    <row r="16" spans="1:4" x14ac:dyDescent="0.3">
      <c r="A16" s="182" t="s">
        <v>531</v>
      </c>
      <c r="B16" s="182" t="s">
        <v>532</v>
      </c>
      <c r="C16" s="183" t="s">
        <v>499</v>
      </c>
      <c r="D16" s="184">
        <v>1.04</v>
      </c>
    </row>
    <row r="17" spans="1:4" x14ac:dyDescent="0.3">
      <c r="A17" s="182" t="s">
        <v>533</v>
      </c>
      <c r="B17" s="182" t="s">
        <v>534</v>
      </c>
      <c r="C17" s="183" t="s">
        <v>496</v>
      </c>
      <c r="D17" s="184">
        <f>0.1+0.03</f>
        <v>0.13</v>
      </c>
    </row>
    <row r="18" spans="1:4" x14ac:dyDescent="0.3">
      <c r="A18" s="182" t="s">
        <v>535</v>
      </c>
      <c r="B18" s="182" t="s">
        <v>536</v>
      </c>
      <c r="C18" s="183" t="s">
        <v>519</v>
      </c>
      <c r="D18" s="184">
        <f>0.54+0.3</f>
        <v>0.84000000000000008</v>
      </c>
    </row>
    <row r="19" spans="1:4" x14ac:dyDescent="0.3">
      <c r="A19" s="182" t="s">
        <v>537</v>
      </c>
      <c r="B19" s="182" t="s">
        <v>597</v>
      </c>
      <c r="C19" s="183" t="s">
        <v>499</v>
      </c>
      <c r="D19" s="184">
        <v>0.37</v>
      </c>
    </row>
    <row r="20" spans="1:4" x14ac:dyDescent="0.3">
      <c r="A20" s="182" t="s">
        <v>538</v>
      </c>
      <c r="B20" s="182" t="s">
        <v>539</v>
      </c>
      <c r="C20" s="183" t="s">
        <v>83</v>
      </c>
      <c r="D20" s="184">
        <v>0.15</v>
      </c>
    </row>
    <row r="21" spans="1:4" x14ac:dyDescent="0.3">
      <c r="A21" s="182" t="s">
        <v>540</v>
      </c>
      <c r="B21" s="182" t="s">
        <v>598</v>
      </c>
      <c r="C21" s="183" t="s">
        <v>499</v>
      </c>
      <c r="D21" s="184">
        <v>0.28000000000000003</v>
      </c>
    </row>
    <row r="22" spans="1:4" x14ac:dyDescent="0.3">
      <c r="A22" s="182" t="s">
        <v>541</v>
      </c>
      <c r="B22" s="182" t="s">
        <v>539</v>
      </c>
      <c r="C22" s="183" t="s">
        <v>83</v>
      </c>
      <c r="D22" s="184">
        <v>0.11</v>
      </c>
    </row>
    <row r="23" spans="1:4" x14ac:dyDescent="0.3">
      <c r="A23" s="182" t="s">
        <v>542</v>
      </c>
      <c r="B23" s="182" t="s">
        <v>599</v>
      </c>
      <c r="C23" s="183" t="s">
        <v>499</v>
      </c>
      <c r="D23" s="184">
        <v>0.14699999999999999</v>
      </c>
    </row>
    <row r="24" spans="1:4" x14ac:dyDescent="0.3">
      <c r="A24" s="182" t="s">
        <v>543</v>
      </c>
      <c r="B24" s="182" t="s">
        <v>539</v>
      </c>
      <c r="C24" s="183" t="s">
        <v>83</v>
      </c>
      <c r="D24" s="184">
        <v>0.32</v>
      </c>
    </row>
    <row r="25" spans="1:4" x14ac:dyDescent="0.3">
      <c r="A25" s="182" t="s">
        <v>544</v>
      </c>
      <c r="B25" s="182" t="s">
        <v>600</v>
      </c>
      <c r="C25" s="183" t="s">
        <v>499</v>
      </c>
      <c r="D25" s="184">
        <v>0.16600000000000001</v>
      </c>
    </row>
    <row r="26" spans="1:4" x14ac:dyDescent="0.3">
      <c r="A26" s="182" t="s">
        <v>545</v>
      </c>
      <c r="B26" s="182" t="s">
        <v>539</v>
      </c>
      <c r="C26" s="183" t="s">
        <v>83</v>
      </c>
      <c r="D26" s="184">
        <v>0.5</v>
      </c>
    </row>
    <row r="27" spans="1:4" x14ac:dyDescent="0.3">
      <c r="A27" s="182" t="s">
        <v>546</v>
      </c>
      <c r="B27" s="182" t="s">
        <v>601</v>
      </c>
      <c r="C27" s="183" t="s">
        <v>499</v>
      </c>
      <c r="D27" s="184">
        <v>0.19700000000000001</v>
      </c>
    </row>
    <row r="28" spans="1:4" x14ac:dyDescent="0.3">
      <c r="A28" s="182" t="s">
        <v>547</v>
      </c>
      <c r="B28" s="182" t="s">
        <v>539</v>
      </c>
      <c r="C28" s="183" t="s">
        <v>83</v>
      </c>
      <c r="D28" s="184">
        <v>0.6</v>
      </c>
    </row>
    <row r="29" spans="1:4" x14ac:dyDescent="0.3">
      <c r="A29" s="182" t="s">
        <v>548</v>
      </c>
      <c r="B29" s="182" t="s">
        <v>602</v>
      </c>
      <c r="C29" s="183" t="s">
        <v>83</v>
      </c>
      <c r="D29" s="184">
        <v>0.82</v>
      </c>
    </row>
    <row r="30" spans="1:4" x14ac:dyDescent="0.3">
      <c r="A30" s="182" t="s">
        <v>549</v>
      </c>
      <c r="B30" s="182" t="s">
        <v>603</v>
      </c>
      <c r="C30" s="183" t="s">
        <v>83</v>
      </c>
      <c r="D30" s="184">
        <v>2.16</v>
      </c>
    </row>
    <row r="31" spans="1:4" x14ac:dyDescent="0.3">
      <c r="A31" s="182" t="s">
        <v>550</v>
      </c>
      <c r="B31" s="182" t="s">
        <v>604</v>
      </c>
      <c r="C31" s="183" t="s">
        <v>83</v>
      </c>
      <c r="D31" s="184">
        <v>4.5999999999999996</v>
      </c>
    </row>
    <row r="32" spans="1:4" x14ac:dyDescent="0.3">
      <c r="A32" s="182" t="s">
        <v>81</v>
      </c>
      <c r="B32" s="182" t="s">
        <v>82</v>
      </c>
      <c r="C32" s="183" t="s">
        <v>83</v>
      </c>
      <c r="D32" s="184">
        <v>0.38</v>
      </c>
    </row>
    <row r="33" spans="1:4" x14ac:dyDescent="0.3">
      <c r="A33" s="182" t="s">
        <v>551</v>
      </c>
      <c r="B33" s="182" t="s">
        <v>552</v>
      </c>
      <c r="C33" s="183" t="s">
        <v>83</v>
      </c>
      <c r="D33" s="184">
        <v>0.62</v>
      </c>
    </row>
    <row r="34" spans="1:4" x14ac:dyDescent="0.3">
      <c r="A34" s="182" t="s">
        <v>553</v>
      </c>
      <c r="B34" s="182" t="s">
        <v>605</v>
      </c>
      <c r="C34" s="183" t="s">
        <v>499</v>
      </c>
      <c r="D34" s="184">
        <v>1.84</v>
      </c>
    </row>
    <row r="35" spans="1:4" x14ac:dyDescent="0.3">
      <c r="A35" s="182" t="s">
        <v>554</v>
      </c>
      <c r="B35" s="182" t="s">
        <v>555</v>
      </c>
      <c r="C35" s="183" t="s">
        <v>556</v>
      </c>
      <c r="D35" s="184">
        <v>0.9</v>
      </c>
    </row>
    <row r="36" spans="1:4" x14ac:dyDescent="0.3">
      <c r="A36" s="182" t="s">
        <v>557</v>
      </c>
      <c r="B36" s="182" t="s">
        <v>606</v>
      </c>
      <c r="C36" s="183" t="s">
        <v>556</v>
      </c>
      <c r="D36" s="184">
        <v>3</v>
      </c>
    </row>
    <row r="37" spans="1:4" x14ac:dyDescent="0.3">
      <c r="A37" s="182" t="s">
        <v>558</v>
      </c>
      <c r="B37" s="182" t="s">
        <v>607</v>
      </c>
      <c r="C37" s="183" t="s">
        <v>556</v>
      </c>
      <c r="D37" s="184">
        <f>0.61+0.61</f>
        <v>1.22</v>
      </c>
    </row>
    <row r="38" spans="1:4" x14ac:dyDescent="0.3">
      <c r="A38" s="182" t="s">
        <v>559</v>
      </c>
      <c r="B38" s="182" t="s">
        <v>560</v>
      </c>
      <c r="C38" s="183" t="s">
        <v>519</v>
      </c>
      <c r="D38" s="184">
        <f>0.02+0.01</f>
        <v>0.03</v>
      </c>
    </row>
    <row r="39" spans="1:4" x14ac:dyDescent="0.3">
      <c r="A39" s="182" t="s">
        <v>561</v>
      </c>
      <c r="B39" s="182" t="s">
        <v>562</v>
      </c>
      <c r="C39" s="183" t="s">
        <v>497</v>
      </c>
      <c r="D39" s="184">
        <f>0.06+0.06</f>
        <v>0.12</v>
      </c>
    </row>
    <row r="40" spans="1:4" x14ac:dyDescent="0.3">
      <c r="A40" s="182" t="s">
        <v>563</v>
      </c>
      <c r="B40" s="182" t="s">
        <v>564</v>
      </c>
      <c r="C40" s="183" t="s">
        <v>497</v>
      </c>
      <c r="D40" s="184">
        <f>7.32+0.93</f>
        <v>8.25</v>
      </c>
    </row>
    <row r="41" spans="1:4" x14ac:dyDescent="0.3">
      <c r="A41" s="182" t="s">
        <v>565</v>
      </c>
      <c r="B41" s="182" t="s">
        <v>608</v>
      </c>
      <c r="C41" s="183" t="s">
        <v>519</v>
      </c>
      <c r="D41" s="184">
        <f>0.02+0.16</f>
        <v>0.18</v>
      </c>
    </row>
    <row r="42" spans="1:4" x14ac:dyDescent="0.3">
      <c r="A42" s="182" t="s">
        <v>566</v>
      </c>
      <c r="B42" s="182" t="s">
        <v>609</v>
      </c>
      <c r="C42" s="183" t="s">
        <v>519</v>
      </c>
      <c r="D42" s="184">
        <f>0.02+0.09</f>
        <v>0.11</v>
      </c>
    </row>
    <row r="43" spans="1:4" x14ac:dyDescent="0.3">
      <c r="A43" s="182" t="s">
        <v>84</v>
      </c>
      <c r="B43" s="182" t="s">
        <v>85</v>
      </c>
      <c r="C43" s="183" t="s">
        <v>83</v>
      </c>
      <c r="D43" s="184">
        <v>0.42</v>
      </c>
    </row>
    <row r="44" spans="1:4" x14ac:dyDescent="0.3">
      <c r="A44" s="182" t="s">
        <v>567</v>
      </c>
      <c r="B44" s="182" t="s">
        <v>568</v>
      </c>
      <c r="C44" s="183" t="s">
        <v>83</v>
      </c>
      <c r="D44" s="184">
        <v>1.1000000000000001</v>
      </c>
    </row>
    <row r="45" spans="1:4" x14ac:dyDescent="0.3">
      <c r="A45" s="182" t="s">
        <v>569</v>
      </c>
      <c r="B45" s="182" t="s">
        <v>570</v>
      </c>
      <c r="C45" s="183" t="s">
        <v>509</v>
      </c>
      <c r="D45" s="184">
        <f>0.24+0.19</f>
        <v>0.43</v>
      </c>
    </row>
    <row r="46" spans="1:4" x14ac:dyDescent="0.3">
      <c r="A46" s="182" t="s">
        <v>571</v>
      </c>
      <c r="B46" s="182" t="s">
        <v>572</v>
      </c>
      <c r="C46" s="183" t="s">
        <v>83</v>
      </c>
      <c r="D46" s="184">
        <f>4.2+4.1</f>
        <v>8.3000000000000007</v>
      </c>
    </row>
    <row r="47" spans="1:4" x14ac:dyDescent="0.3">
      <c r="A47" s="182" t="s">
        <v>573</v>
      </c>
      <c r="B47" s="182" t="s">
        <v>574</v>
      </c>
      <c r="C47" s="183" t="s">
        <v>519</v>
      </c>
      <c r="D47" s="184">
        <v>0.06</v>
      </c>
    </row>
    <row r="48" spans="1:4" x14ac:dyDescent="0.3">
      <c r="A48" s="182" t="s">
        <v>517</v>
      </c>
      <c r="B48" s="182" t="s">
        <v>518</v>
      </c>
      <c r="C48" s="183" t="s">
        <v>519</v>
      </c>
      <c r="D48" s="184">
        <v>1</v>
      </c>
    </row>
    <row r="49" spans="1:4" x14ac:dyDescent="0.3">
      <c r="A49" s="182" t="s">
        <v>575</v>
      </c>
      <c r="B49" s="182" t="s">
        <v>576</v>
      </c>
      <c r="C49" s="183" t="s">
        <v>519</v>
      </c>
      <c r="D49" s="184">
        <v>0.68</v>
      </c>
    </row>
    <row r="50" spans="1:4" x14ac:dyDescent="0.3">
      <c r="A50" s="182" t="s">
        <v>577</v>
      </c>
      <c r="B50" s="182" t="s">
        <v>578</v>
      </c>
      <c r="C50" s="183" t="s">
        <v>519</v>
      </c>
      <c r="D50" s="184">
        <v>0.68</v>
      </c>
    </row>
    <row r="51" spans="1:4" x14ac:dyDescent="0.3">
      <c r="A51" s="182" t="s">
        <v>579</v>
      </c>
      <c r="B51" s="182" t="s">
        <v>610</v>
      </c>
      <c r="C51" s="183" t="s">
        <v>83</v>
      </c>
      <c r="D51" s="184">
        <v>0.73</v>
      </c>
    </row>
    <row r="52" spans="1:4" x14ac:dyDescent="0.3">
      <c r="A52" s="182" t="s">
        <v>580</v>
      </c>
      <c r="B52" s="182" t="s">
        <v>611</v>
      </c>
      <c r="C52" s="183" t="s">
        <v>83</v>
      </c>
      <c r="D52" s="184">
        <v>1.02</v>
      </c>
    </row>
    <row r="53" spans="1:4" x14ac:dyDescent="0.3">
      <c r="A53" s="182" t="s">
        <v>581</v>
      </c>
      <c r="B53" s="182" t="s">
        <v>612</v>
      </c>
      <c r="C53" s="183" t="s">
        <v>83</v>
      </c>
      <c r="D53" s="184">
        <v>2.2200000000000002</v>
      </c>
    </row>
    <row r="54" spans="1:4" x14ac:dyDescent="0.3">
      <c r="A54" s="182" t="s">
        <v>582</v>
      </c>
      <c r="B54" s="182" t="s">
        <v>583</v>
      </c>
      <c r="C54" s="183" t="s">
        <v>519</v>
      </c>
      <c r="D54" s="184">
        <v>0.24</v>
      </c>
    </row>
    <row r="55" spans="1:4" x14ac:dyDescent="0.3">
      <c r="A55" s="182" t="s">
        <v>584</v>
      </c>
      <c r="B55" s="182" t="s">
        <v>585</v>
      </c>
      <c r="C55" s="183" t="s">
        <v>83</v>
      </c>
      <c r="D55" s="184">
        <v>0.68</v>
      </c>
    </row>
    <row r="56" spans="1:4" x14ac:dyDescent="0.3">
      <c r="A56" s="182" t="s">
        <v>586</v>
      </c>
      <c r="B56" s="182" t="s">
        <v>587</v>
      </c>
      <c r="C56" s="183" t="s">
        <v>83</v>
      </c>
      <c r="D56" s="184">
        <v>1.05</v>
      </c>
    </row>
    <row r="57" spans="1:4" x14ac:dyDescent="0.3">
      <c r="A57" s="182" t="s">
        <v>87</v>
      </c>
      <c r="B57" s="182" t="s">
        <v>88</v>
      </c>
      <c r="C57" s="183" t="s">
        <v>83</v>
      </c>
      <c r="D57" s="184">
        <v>0.24</v>
      </c>
    </row>
    <row r="58" spans="1:4" x14ac:dyDescent="0.3">
      <c r="A58" s="182" t="s">
        <v>588</v>
      </c>
      <c r="B58" s="182" t="s">
        <v>589</v>
      </c>
      <c r="C58" s="183" t="s">
        <v>83</v>
      </c>
      <c r="D58" s="184">
        <v>0.56000000000000005</v>
      </c>
    </row>
    <row r="59" spans="1:4" x14ac:dyDescent="0.3">
      <c r="A59" s="182" t="s">
        <v>590</v>
      </c>
      <c r="B59" s="182" t="s">
        <v>591</v>
      </c>
      <c r="C59" s="183" t="s">
        <v>83</v>
      </c>
      <c r="D59" s="184">
        <v>0.99</v>
      </c>
    </row>
  </sheetData>
  <pageMargins left="0.7" right="0.7" top="0.75" bottom="0.75" header="0.3" footer="0.3"/>
</worksheet>
</file>

<file path=customUI/customUI.xml><?xml version="1.0" encoding="utf-8"?>
<customUI xmlns="http://schemas.microsoft.com/office/2006/01/customui" onLoad="RibbonOnLoad">
  <ribbon>
    <tabs>
      <tab id="tabTest" label="Proces Verbal">
        <group id="grp1" label="Configurare">
          <comboBox id="cmbEchipa" label="Echipa" sizeString="XXXXXXXXXXXXXXXXXXXXXXXXXXXX" getItemCount="cmbEchipa_getItemCount" getItemLabel="cmbEchipa_getItemLabel" getText="cmbEchipa_getText" onChange="cmbEchipa_onChange"/>
          <comboBox id="cmbTip" label="Tip lucrare" sizeString="XXXXXXXXXXXXXXXXXXXXXXXXXXXX" getItemCount="cmbTip_getItemCount" getItemLabel="cmbTip_getItemLabel" getText="cmbTip_getText" onChange="cmbTip_onChange"/>
          <separator id="sep1"/>
          <button id="btnAddProcesVerbalNou" label="AddProcesVerbalNou" size="normal" onAction="AddProcesVerbalNou"/>
          <button id="btnAddFormularNorma" label="AddFormularNorma" size="normal" onAction="AddFormularNorma"/>
          <button id="btnAddFormularTransport" label="AddFormularTransport" size="normal" onAction="AddFormularTransport"/>
          <separator id="sep2"/>
          <button id="btnAddObiectPV" label="AddObiectPV" size="normal" onAction="AddObiectPV"/>
          <button id="btnAddNormaPV" label="AddNormaPV" size="normal" onAction="AddNormaPV"/>
          <button id="btnAddMaterialePV" label="AddMaterialePV" size="normal" onAction="AddMaterialePV"/>
          <button id="btnAddUtilajPV" label="AddUtilajPV" size="normal" onAction="AddUtilajPV"/>
          <button id="btnAddTransportPV" label="AddTransportPV" size="normal" onAction="AddTransportPV"/>
          <button id="btnAddNormaBD" label="AddNormaBD" size="normal" onAction="AddNormaBD"/>
          <button id="btnAddMaterialeBD" label="AddMaterialeBD" size="normal" onAction="AddMaterialeBD"/>
          <button id="btnAddUtilajBD" label="AddUtilajBD" size="normal" onAction="AddUtilajBD"/>
          <button id="btnAddTransportBD" label="AddTransportBD" size="normal" onAction="AddTransportBD"/>
          <separator id="sep3"/>
          <button id="btnAddListeBD" label="AddListeBD" size="normal" onAction="AddListeBD"/>
          <button id="btnFormularPV" label="FormularPV" size="normal" onAction="FormularPV"/>
          <button id="btnFormularFise" label="FormularFise" size="normal" onAction="FormularFise"/>
          <separator id="sep4"/>
          <button id="btnCalcMateriale" label="CalcMateriale" size="normal" onAction="CalcMateriale"/>
          <button id="btnFormeazaFisa" label="FormeazaFisa" size="normal" onAction="FormeazaFisa"/>
          <button id="btnStergePVFise" label="StergePVFise" size="normal" onAction="StergePVFise"/>
          <separator id="sep5"/>
          <button id="btnRefresh" label="Reimprospateaza" size="large" imageMso="Refresh" onAction="btnRefresh_onAc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6D187C-4345-4E6F-8D19-D516C27182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CalculMateriale</vt:lpstr>
      <vt:lpstr>FisaModel!Print_Area</vt:lpstr>
      <vt:lpstr>PVModel!Print_Area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GHENADIE BRINZA</dc:creator>
  <cp:lastModifiedBy>GHENADIE BRINZA</cp:lastModifiedBy>
  <cp:lastPrinted>2025-09-27T21:43:40Z</cp:lastPrinted>
  <dcterms:created xsi:type="dcterms:W3CDTF">2015-06-05T18:17:20Z</dcterms:created>
  <dcterms:modified xsi:type="dcterms:W3CDTF">2025-09-28T11:58:56Z</dcterms:modified>
</cp:coreProperties>
</file>